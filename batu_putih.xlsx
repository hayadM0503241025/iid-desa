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dullah Alhayad\Downloads\"/>
    </mc:Choice>
  </mc:AlternateContent>
  <xr:revisionPtr revIDLastSave="0" documentId="13_ncr:1_{E6BD6957-7544-41E2-BDE1-87FF7E98C7C3}" xr6:coauthVersionLast="47" xr6:coauthVersionMax="47" xr10:uidLastSave="{00000000-0000-0000-0000-000000000000}"/>
  <bookViews>
    <workbookView xWindow="-110" yWindow="-110" windowWidth="19420" windowHeight="11500" activeTab="3" xr2:uid="{FA2543C8-86D1-4BFE-9207-FB79059C89AE}"/>
  </bookViews>
  <sheets>
    <sheet name="Sheet1" sheetId="1" r:id="rId1"/>
    <sheet name="pendidikan" sheetId="4" r:id="rId2"/>
    <sheet name="ppwp dan top 5 parpol" sheetId="3" r:id="rId3"/>
    <sheet name="pekerjaan domina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4" l="1"/>
  <c r="F12" i="4"/>
  <c r="E12" i="4"/>
  <c r="D12" i="4"/>
  <c r="C12" i="4"/>
  <c r="B12" i="4"/>
  <c r="H12" i="4" s="1"/>
  <c r="B25" i="4" s="1"/>
  <c r="G11" i="4"/>
  <c r="F11" i="4"/>
  <c r="E11" i="4"/>
  <c r="D11" i="4"/>
  <c r="C11" i="4"/>
  <c r="B11" i="4"/>
  <c r="H11" i="4" s="1"/>
  <c r="G10" i="4"/>
  <c r="F10" i="4"/>
  <c r="E10" i="4"/>
  <c r="D10" i="4"/>
  <c r="C10" i="4"/>
  <c r="C23" i="4" s="1"/>
  <c r="B10" i="4"/>
  <c r="H10" i="4" s="1"/>
  <c r="H9" i="4"/>
  <c r="F22" i="4" s="1"/>
  <c r="G9" i="4"/>
  <c r="G22" i="4" s="1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H5" i="4" s="1"/>
  <c r="B18" i="4" s="1"/>
  <c r="B5" i="4"/>
  <c r="G4" i="4"/>
  <c r="F4" i="4"/>
  <c r="E4" i="4"/>
  <c r="D4" i="4"/>
  <c r="C4" i="4"/>
  <c r="B4" i="4"/>
  <c r="H4" i="4" s="1"/>
  <c r="G3" i="4"/>
  <c r="F3" i="4"/>
  <c r="E3" i="4"/>
  <c r="D3" i="4"/>
  <c r="C3" i="4"/>
  <c r="B3" i="4"/>
  <c r="H3" i="4" s="1"/>
  <c r="H2" i="4"/>
  <c r="E15" i="4" s="1"/>
  <c r="G2" i="4"/>
  <c r="F2" i="4"/>
  <c r="E2" i="4"/>
  <c r="D2" i="4"/>
  <c r="C2" i="4"/>
  <c r="C15" i="4" s="1"/>
  <c r="B2" i="4"/>
  <c r="B15" i="4" s="1"/>
  <c r="D30" i="3"/>
  <c r="D29" i="3"/>
  <c r="D21" i="3"/>
  <c r="P15" i="3"/>
  <c r="O30" i="3" s="1"/>
  <c r="H15" i="3"/>
  <c r="G15" i="3"/>
  <c r="F15" i="3"/>
  <c r="E15" i="3"/>
  <c r="D15" i="3"/>
  <c r="P14" i="3"/>
  <c r="O29" i="3" s="1"/>
  <c r="H14" i="3"/>
  <c r="H29" i="3" s="1"/>
  <c r="G14" i="3"/>
  <c r="G29" i="3" s="1"/>
  <c r="F14" i="3"/>
  <c r="E14" i="3"/>
  <c r="D14" i="3"/>
  <c r="P13" i="3"/>
  <c r="O28" i="3" s="1"/>
  <c r="H13" i="3"/>
  <c r="G13" i="3"/>
  <c r="F13" i="3"/>
  <c r="F28" i="3" s="1"/>
  <c r="E13" i="3"/>
  <c r="D13" i="3"/>
  <c r="D28" i="3" s="1"/>
  <c r="P12" i="3"/>
  <c r="O27" i="3" s="1"/>
  <c r="H12" i="3"/>
  <c r="G12" i="3"/>
  <c r="F12" i="3"/>
  <c r="E12" i="3"/>
  <c r="E27" i="3" s="1"/>
  <c r="D12" i="3"/>
  <c r="D27" i="3" s="1"/>
  <c r="P11" i="3"/>
  <c r="O26" i="3" s="1"/>
  <c r="H11" i="3"/>
  <c r="G11" i="3"/>
  <c r="F11" i="3"/>
  <c r="E11" i="3"/>
  <c r="D11" i="3"/>
  <c r="D26" i="3" s="1"/>
  <c r="P10" i="3"/>
  <c r="O25" i="3" s="1"/>
  <c r="H10" i="3"/>
  <c r="H25" i="3" s="1"/>
  <c r="G10" i="3"/>
  <c r="G25" i="3" s="1"/>
  <c r="F10" i="3"/>
  <c r="E10" i="3"/>
  <c r="D10" i="3"/>
  <c r="P9" i="3"/>
  <c r="O24" i="3" s="1"/>
  <c r="H9" i="3"/>
  <c r="G9" i="3"/>
  <c r="G24" i="3" s="1"/>
  <c r="F9" i="3"/>
  <c r="F24" i="3" s="1"/>
  <c r="E9" i="3"/>
  <c r="D9" i="3"/>
  <c r="D24" i="3" s="1"/>
  <c r="P8" i="3"/>
  <c r="O23" i="3" s="1"/>
  <c r="H8" i="3"/>
  <c r="G8" i="3"/>
  <c r="F8" i="3"/>
  <c r="E8" i="3"/>
  <c r="E23" i="3" s="1"/>
  <c r="D8" i="3"/>
  <c r="D23" i="3" s="1"/>
  <c r="P7" i="3"/>
  <c r="O22" i="3" s="1"/>
  <c r="H7" i="3"/>
  <c r="G7" i="3"/>
  <c r="F7" i="3"/>
  <c r="E7" i="3"/>
  <c r="D7" i="3"/>
  <c r="P6" i="3"/>
  <c r="O21" i="3" s="1"/>
  <c r="H6" i="3"/>
  <c r="H21" i="3" s="1"/>
  <c r="G6" i="3"/>
  <c r="G21" i="3" s="1"/>
  <c r="F6" i="3"/>
  <c r="E6" i="3"/>
  <c r="D6" i="3"/>
  <c r="P5" i="3"/>
  <c r="O20" i="3" s="1"/>
  <c r="I5" i="3" a="1"/>
  <c r="E29" i="3" s="1"/>
  <c r="H5" i="3"/>
  <c r="G5" i="3"/>
  <c r="F5" i="3"/>
  <c r="E5" i="3"/>
  <c r="D5" i="3"/>
  <c r="BN22" i="1" a="1"/>
  <c r="BN22" i="1" s="1"/>
  <c r="BP23" i="1"/>
  <c r="BO25" i="1"/>
  <c r="BO26" i="1"/>
  <c r="BO29" i="1"/>
  <c r="BP31" i="1"/>
  <c r="BP22" i="1"/>
  <c r="BM23" i="1"/>
  <c r="BO23" i="1" s="1"/>
  <c r="BM24" i="1"/>
  <c r="BP24" i="1" s="1"/>
  <c r="BM25" i="1"/>
  <c r="BP25" i="1" s="1"/>
  <c r="BM26" i="1"/>
  <c r="BP26" i="1" s="1"/>
  <c r="BM27" i="1"/>
  <c r="BO27" i="1" s="1"/>
  <c r="BM28" i="1"/>
  <c r="BP28" i="1" s="1"/>
  <c r="BM29" i="1"/>
  <c r="BP29" i="1" s="1"/>
  <c r="BM30" i="1"/>
  <c r="BO30" i="1" s="1"/>
  <c r="BM31" i="1"/>
  <c r="BO31" i="1" s="1"/>
  <c r="BM32" i="1"/>
  <c r="BP32" i="1" s="1"/>
  <c r="BM33" i="1"/>
  <c r="BM22" i="1"/>
  <c r="BO22" i="1" s="1"/>
  <c r="O33" i="1"/>
  <c r="B4" i="2" s="1" a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Q48" i="1"/>
  <c r="Q56" i="1"/>
  <c r="S46" i="1"/>
  <c r="S54" i="1"/>
  <c r="R40" i="1" a="1"/>
  <c r="R40" i="1" s="1"/>
  <c r="Q40" i="1" s="1"/>
  <c r="E18" i="4" l="1"/>
  <c r="D17" i="4"/>
  <c r="C16" i="4"/>
  <c r="E17" i="4"/>
  <c r="C20" i="4"/>
  <c r="D25" i="4"/>
  <c r="D16" i="4"/>
  <c r="F17" i="4"/>
  <c r="C24" i="4"/>
  <c r="E25" i="4"/>
  <c r="E19" i="4"/>
  <c r="D18" i="4"/>
  <c r="C17" i="4"/>
  <c r="G16" i="4"/>
  <c r="F16" i="4"/>
  <c r="F18" i="4"/>
  <c r="C25" i="4"/>
  <c r="G18" i="4"/>
  <c r="G24" i="4"/>
  <c r="F24" i="4"/>
  <c r="E16" i="4"/>
  <c r="G17" i="4"/>
  <c r="E23" i="4"/>
  <c r="D23" i="4"/>
  <c r="G23" i="4"/>
  <c r="F23" i="4"/>
  <c r="D24" i="4"/>
  <c r="F25" i="4"/>
  <c r="F19" i="4"/>
  <c r="G19" i="4"/>
  <c r="D19" i="4"/>
  <c r="F20" i="4"/>
  <c r="E24" i="4"/>
  <c r="G25" i="4"/>
  <c r="G28" i="3"/>
  <c r="D22" i="3"/>
  <c r="H7" i="4"/>
  <c r="G20" i="4" s="1"/>
  <c r="F15" i="4"/>
  <c r="B17" i="4"/>
  <c r="D22" i="4"/>
  <c r="H24" i="3"/>
  <c r="F27" i="3"/>
  <c r="H6" i="4"/>
  <c r="B19" i="4" s="1"/>
  <c r="G15" i="4"/>
  <c r="E22" i="4"/>
  <c r="G23" i="3"/>
  <c r="B16" i="4"/>
  <c r="F22" i="3"/>
  <c r="H23" i="3"/>
  <c r="F26" i="3"/>
  <c r="H27" i="3"/>
  <c r="F30" i="3"/>
  <c r="D15" i="4"/>
  <c r="B22" i="4"/>
  <c r="H8" i="4"/>
  <c r="G21" i="4" s="1"/>
  <c r="C18" i="4"/>
  <c r="C22" i="4"/>
  <c r="F23" i="3"/>
  <c r="H28" i="3"/>
  <c r="G27" i="3"/>
  <c r="D25" i="3"/>
  <c r="B24" i="4"/>
  <c r="G22" i="3"/>
  <c r="G26" i="3"/>
  <c r="G30" i="3"/>
  <c r="B23" i="4"/>
  <c r="E28" i="3"/>
  <c r="F21" i="3"/>
  <c r="F25" i="3"/>
  <c r="F29" i="3"/>
  <c r="E21" i="3"/>
  <c r="E25" i="3"/>
  <c r="E30" i="3"/>
  <c r="H22" i="3"/>
  <c r="H26" i="3"/>
  <c r="H30" i="3"/>
  <c r="M20" i="3"/>
  <c r="M21" i="3"/>
  <c r="M22" i="3"/>
  <c r="M23" i="3"/>
  <c r="M24" i="3"/>
  <c r="M25" i="3"/>
  <c r="M26" i="3"/>
  <c r="M27" i="3"/>
  <c r="M28" i="3"/>
  <c r="M29" i="3"/>
  <c r="M30" i="3"/>
  <c r="I5" i="3"/>
  <c r="E22" i="3"/>
  <c r="E24" i="3"/>
  <c r="E26" i="3"/>
  <c r="N20" i="3"/>
  <c r="N21" i="3"/>
  <c r="N22" i="3"/>
  <c r="N23" i="3"/>
  <c r="N24" i="3"/>
  <c r="N25" i="3"/>
  <c r="N26" i="3"/>
  <c r="N27" i="3"/>
  <c r="N28" i="3"/>
  <c r="N29" i="3"/>
  <c r="N30" i="3"/>
  <c r="O51" i="2"/>
  <c r="O43" i="2"/>
  <c r="O35" i="2"/>
  <c r="O27" i="2"/>
  <c r="O19" i="2"/>
  <c r="O11" i="2"/>
  <c r="O5" i="2"/>
  <c r="O50" i="2"/>
  <c r="O42" i="2"/>
  <c r="O34" i="2"/>
  <c r="O26" i="2"/>
  <c r="O18" i="2"/>
  <c r="O10" i="2"/>
  <c r="O49" i="2"/>
  <c r="O41" i="2"/>
  <c r="O33" i="2"/>
  <c r="O25" i="2"/>
  <c r="O17" i="2"/>
  <c r="O9" i="2"/>
  <c r="B4" i="2"/>
  <c r="O48" i="2"/>
  <c r="O40" i="2"/>
  <c r="O32" i="2"/>
  <c r="O24" i="2"/>
  <c r="O16" i="2"/>
  <c r="O8" i="2"/>
  <c r="O47" i="2"/>
  <c r="O39" i="2"/>
  <c r="O31" i="2"/>
  <c r="O23" i="2"/>
  <c r="O15" i="2"/>
  <c r="O7" i="2"/>
  <c r="O46" i="2"/>
  <c r="O38" i="2"/>
  <c r="O30" i="2"/>
  <c r="O22" i="2"/>
  <c r="O14" i="2"/>
  <c r="O6" i="2"/>
  <c r="O45" i="2"/>
  <c r="O37" i="2"/>
  <c r="O29" i="2"/>
  <c r="O21" i="2"/>
  <c r="O13" i="2"/>
  <c r="O44" i="2"/>
  <c r="O36" i="2"/>
  <c r="O28" i="2"/>
  <c r="O20" i="2"/>
  <c r="O12" i="2"/>
  <c r="S53" i="1"/>
  <c r="S45" i="1"/>
  <c r="Q55" i="1"/>
  <c r="Q47" i="1"/>
  <c r="BO32" i="1"/>
  <c r="BO28" i="1"/>
  <c r="BO24" i="1"/>
  <c r="BP27" i="1"/>
  <c r="S51" i="1"/>
  <c r="S43" i="1"/>
  <c r="Q53" i="1"/>
  <c r="Q45" i="1"/>
  <c r="Q54" i="1"/>
  <c r="S40" i="1"/>
  <c r="Q44" i="1"/>
  <c r="BP30" i="1"/>
  <c r="S52" i="1"/>
  <c r="S44" i="1"/>
  <c r="Q46" i="1"/>
  <c r="S50" i="1"/>
  <c r="S42" i="1"/>
  <c r="Q52" i="1"/>
  <c r="S57" i="1"/>
  <c r="S49" i="1"/>
  <c r="S41" i="1"/>
  <c r="Q51" i="1"/>
  <c r="Q43" i="1"/>
  <c r="S56" i="1"/>
  <c r="S48" i="1"/>
  <c r="Q50" i="1"/>
  <c r="Q42" i="1"/>
  <c r="S55" i="1"/>
  <c r="S47" i="1"/>
  <c r="Q57" i="1"/>
  <c r="Q49" i="1"/>
  <c r="Q41" i="1"/>
  <c r="E21" i="4" l="1"/>
  <c r="B20" i="4"/>
  <c r="C19" i="4"/>
  <c r="D20" i="4"/>
  <c r="F21" i="4"/>
  <c r="C21" i="4"/>
  <c r="D21" i="4"/>
  <c r="B21" i="4"/>
  <c r="E20" i="4"/>
  <c r="R5" i="2" a="1"/>
  <c r="R5" i="2" s="1"/>
  <c r="D20" i="3"/>
  <c r="F20" i="3"/>
  <c r="E20" i="3"/>
  <c r="G20" i="3"/>
  <c r="H20" i="3"/>
  <c r="U40" i="1" a="1"/>
  <c r="U4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<sst xmlns="http://schemas.openxmlformats.org/spreadsheetml/2006/main" count="265" uniqueCount="142">
  <si>
    <t>Partai Amanat Nasional</t>
  </si>
  <si>
    <t>Partai Bulan Bintang</t>
  </si>
  <si>
    <t>Partai Buruh</t>
  </si>
  <si>
    <t>Partai Demokrasi Indonesia Perjuangan</t>
  </si>
  <si>
    <t>Partai Demokrat</t>
  </si>
  <si>
    <t>Partai Garda Republik Indonesia</t>
  </si>
  <si>
    <t>Partai Gelombang Rakyat Indonesia</t>
  </si>
  <si>
    <t>Partai Gerakan Indonesia Raya</t>
  </si>
  <si>
    <t>Partai Golongan Karya</t>
  </si>
  <si>
    <t>Partai Hati Nurani Rakyat</t>
  </si>
  <si>
    <t>Partai Keadilan Sejahtera</t>
  </si>
  <si>
    <t>Partai Kebangkitan Bangsa</t>
  </si>
  <si>
    <t>Partai Kebangkitan Nusantara</t>
  </si>
  <si>
    <t>Partai NasDem</t>
  </si>
  <si>
    <t>PARTAI PERINDO</t>
  </si>
  <si>
    <t>Partai Persatuan Pembangunan</t>
  </si>
  <si>
    <t>Partai Solidaritas Indonesia</t>
  </si>
  <si>
    <t>Partai Ummat</t>
  </si>
  <si>
    <t>Total</t>
  </si>
  <si>
    <t>Kode Deskel</t>
  </si>
  <si>
    <t>BATU PUTIH</t>
  </si>
  <si>
    <t>LATOWU</t>
  </si>
  <si>
    <t>MOSIKU</t>
  </si>
  <si>
    <t>LELEWAWO</t>
  </si>
  <si>
    <t>BATU API</t>
  </si>
  <si>
    <t>BUKIT TINGGI</t>
  </si>
  <si>
    <t>BUKIT BARU</t>
  </si>
  <si>
    <t>PARUNG LAMPE</t>
  </si>
  <si>
    <t>PUNCAK HARAPAN</t>
  </si>
  <si>
    <t>TETEBAWO</t>
  </si>
  <si>
    <t>MAKKUASENG</t>
  </si>
  <si>
    <t>74.08.03.1001</t>
  </si>
  <si>
    <t>74.08.03.2002</t>
  </si>
  <si>
    <t>74.08.03.2003</t>
  </si>
  <si>
    <t>74.08.03.2004</t>
  </si>
  <si>
    <t>74.08.03.2011</t>
  </si>
  <si>
    <t>74.08.03.2012</t>
  </si>
  <si>
    <t>74.08.03.2015</t>
  </si>
  <si>
    <t>74.08.03.2016</t>
  </si>
  <si>
    <t>74.08.03.2017</t>
  </si>
  <si>
    <t>74.08.03.2020</t>
  </si>
  <si>
    <t>74.08.03.2021</t>
  </si>
  <si>
    <t>Nama Deskel</t>
  </si>
  <si>
    <t>PPWP 01</t>
  </si>
  <si>
    <t>PPWP 02</t>
  </si>
  <si>
    <t>PPWP 03</t>
  </si>
  <si>
    <t>Total PPWP</t>
  </si>
  <si>
    <t>Total DPR</t>
  </si>
  <si>
    <t>pemilih_dpt_l</t>
  </si>
  <si>
    <t>pemilih_dpt_p</t>
  </si>
  <si>
    <t>pemilih_dpt_j</t>
  </si>
  <si>
    <t>pengguna_dpt_l</t>
  </si>
  <si>
    <t>pengguna_dpt_p</t>
  </si>
  <si>
    <t>pengguna_dpt_j</t>
  </si>
  <si>
    <t>pengguna_dptb_l</t>
  </si>
  <si>
    <t>pengguna_dptb_p</t>
  </si>
  <si>
    <t>pengguna_dptb_j</t>
  </si>
  <si>
    <t>pengguna_dpk_l</t>
  </si>
  <si>
    <t>pengguna_dpk_p</t>
  </si>
  <si>
    <t>pengguna_dpk_j</t>
  </si>
  <si>
    <t>laki-laki</t>
  </si>
  <si>
    <t>perempuan</t>
  </si>
  <si>
    <t>total</t>
  </si>
  <si>
    <t>tidak punya ijazah</t>
  </si>
  <si>
    <t>tk/paud</t>
  </si>
  <si>
    <t>sd/sederajat</t>
  </si>
  <si>
    <t>smp/sederajat</t>
  </si>
  <si>
    <t>sma/sederajat</t>
  </si>
  <si>
    <t>smk/sederajat</t>
  </si>
  <si>
    <t>d1/d2/d3</t>
  </si>
  <si>
    <t>d4/s1</t>
  </si>
  <si>
    <t>s2</t>
  </si>
  <si>
    <t>s3</t>
  </si>
  <si>
    <t>belum/tidak bekerja</t>
  </si>
  <si>
    <t>koki/barista/bartender</t>
  </si>
  <si>
    <t>pekerja serabutan</t>
  </si>
  <si>
    <t>petani/pekebun</t>
  </si>
  <si>
    <t>wirausaha</t>
  </si>
  <si>
    <t>ustadz/mubaligh</t>
  </si>
  <si>
    <t>guru/pendidik</t>
  </si>
  <si>
    <t>polisi</t>
  </si>
  <si>
    <t>buruh industri</t>
  </si>
  <si>
    <t>pekerja/karyawan swasta</t>
  </si>
  <si>
    <t>tenaga administrasi (tata usaha)</t>
  </si>
  <si>
    <t>montir/mekanik/teknisi</t>
  </si>
  <si>
    <t>peternak</t>
  </si>
  <si>
    <t>driver/pengemudi</t>
  </si>
  <si>
    <t>pembantu/asisten rumah tangga</t>
  </si>
  <si>
    <t>bidan</t>
  </si>
  <si>
    <t>pejabat lembaga negara</t>
  </si>
  <si>
    <t>penjahit/tukang sol</t>
  </si>
  <si>
    <t>seniman</t>
  </si>
  <si>
    <t>pelatih/instruktur/pawang</t>
  </si>
  <si>
    <t>perawat</t>
  </si>
  <si>
    <t>pelaut</t>
  </si>
  <si>
    <t>pemuka agama/adat</t>
  </si>
  <si>
    <t>kontraktor (pemborong)</t>
  </si>
  <si>
    <t>operator alat berat</t>
  </si>
  <si>
    <t>security/satpam/penjaga keamanan</t>
  </si>
  <si>
    <t>arsitek</t>
  </si>
  <si>
    <t>sekretaris</t>
  </si>
  <si>
    <t>buruh bangunan</t>
  </si>
  <si>
    <t>tni</t>
  </si>
  <si>
    <t>buruh tani</t>
  </si>
  <si>
    <t>debt collector/penagih hutang</t>
  </si>
  <si>
    <t>pelayan/penjaga toko</t>
  </si>
  <si>
    <t>customer service/resepsionis/teller</t>
  </si>
  <si>
    <t>dosen</t>
  </si>
  <si>
    <t>pegawai lembaga negara</t>
  </si>
  <si>
    <t>perangkat desa</t>
  </si>
  <si>
    <t>penata rias</t>
  </si>
  <si>
    <t>nelayan</t>
  </si>
  <si>
    <t>mandor/pengawas/supervisor</t>
  </si>
  <si>
    <t>public relation/marketing</t>
  </si>
  <si>
    <t>kasir</t>
  </si>
  <si>
    <t>peneliti</t>
  </si>
  <si>
    <t>pengrajin</t>
  </si>
  <si>
    <t>petambak</t>
  </si>
  <si>
    <t>pramugara/pramugari</t>
  </si>
  <si>
    <t>kurir</t>
  </si>
  <si>
    <t>dokter</t>
  </si>
  <si>
    <t>ya</t>
  </si>
  <si>
    <t>tidak</t>
  </si>
  <si>
    <t>Tidak Punya Ijazah</t>
  </si>
  <si>
    <t>SD/sederajat</t>
  </si>
  <si>
    <t>SMP/sederajat</t>
  </si>
  <si>
    <t>SMA/sederajat</t>
  </si>
  <si>
    <t>D1-S1</t>
  </si>
  <si>
    <t>S2-S3</t>
  </si>
  <si>
    <t>Ya</t>
  </si>
  <si>
    <t>Tidak</t>
  </si>
  <si>
    <t>petani/pekebun, guru/pendidik, wirausaha, buruh industri, pekerja/karyawan swasta</t>
  </si>
  <si>
    <t>petani/pekebun, pekerja serabutan, guru/pendidik, wirausaha, buruh industri</t>
  </si>
  <si>
    <t>petani/pekebun, guru/pendidik, pekerja/karyawan swasta, kontraktor (pemborong), driver/pengemudi</t>
  </si>
  <si>
    <t>petani/pekebun, guru/pendidik, nelayan, operator alat berat, wirausaha</t>
  </si>
  <si>
    <t>petani/pekebun, buruh industri, guru/pendidik, perangkat desa, pekerja serabutan</t>
  </si>
  <si>
    <t>petani/pekebun, wirausaha, pekerja/karyawan swasta, guru/pendidik, pekerja serabutan</t>
  </si>
  <si>
    <t>petani/pekebun, guru/pendidik, pekerja/karyawan swasta, pekerja serabutan, buruh industri</t>
  </si>
  <si>
    <t>petani/pekebun, peternak, guru/pendidik, driver/pengemudi, perangkat desa</t>
  </si>
  <si>
    <t>petani/pekebun, pembantu/asisten rumah tangga, guru/pendidik, wirausaha, buruh industri</t>
  </si>
  <si>
    <t>petani/pekebun, wirausaha, pekerja serabutan, security/satpam/penjaga keamanan, guru/pendidik</t>
  </si>
  <si>
    <t>petani/pekebun, wirausaha, tenaga administrasi (tata usaha), pekerja serabutan, buruh industri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</si>
</sst>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C2-567B-4F19-8920-E3B38E0B2BD2}">
  <dimension ref="A1:BP57"/>
  <sheetViews>
    <sheetView topLeftCell="B14" zoomScale="95" zoomScaleNormal="55" workbookViewId="0">
      <selection activeCell="V17" sqref="V17"/>
    </sheetView>
  </sheetViews>
  <sheetFormatPr defaultRowHeight="14.5" x14ac:dyDescent="0.35"/>
  <cols>
    <col min="1" max="1" width="13.7265625" customWidth="1"/>
    <col min="2" max="2" width="15.36328125" bestFit="1" customWidth="1"/>
    <col min="3" max="3" width="14.08984375" bestFit="1" customWidth="1"/>
    <col min="4" max="5" width="8" customWidth="1"/>
    <col min="6" max="6" width="7.7265625" bestFit="1" customWidth="1"/>
    <col min="7" max="7" width="11" bestFit="1" customWidth="1"/>
    <col min="8" max="9" width="12.54296875" bestFit="1" customWidth="1"/>
    <col min="10" max="10" width="12.453125" bestFit="1" customWidth="1"/>
    <col min="11" max="14" width="8" customWidth="1"/>
    <col min="17" max="17" width="9.08984375" customWidth="1"/>
    <col min="19" max="19" width="10.81640625" bestFit="1" customWidth="1"/>
    <col min="20" max="20" width="17.1796875" bestFit="1" customWidth="1"/>
  </cols>
  <sheetData>
    <row r="1" spans="1:37" x14ac:dyDescent="0.35">
      <c r="S1">
        <v>1</v>
      </c>
      <c r="T1">
        <v>2</v>
      </c>
      <c r="U1">
        <v>3</v>
      </c>
      <c r="V1">
        <v>4</v>
      </c>
      <c r="W1">
        <v>5</v>
      </c>
      <c r="X1">
        <v>6</v>
      </c>
      <c r="Y1">
        <v>7</v>
      </c>
      <c r="Z1">
        <v>8</v>
      </c>
      <c r="AA1">
        <v>9</v>
      </c>
      <c r="AB1">
        <v>10</v>
      </c>
      <c r="AC1">
        <v>11</v>
      </c>
      <c r="AD1">
        <v>12</v>
      </c>
      <c r="AE1">
        <v>13</v>
      </c>
      <c r="AF1">
        <v>14</v>
      </c>
      <c r="AG1">
        <v>15</v>
      </c>
      <c r="AH1">
        <v>16</v>
      </c>
      <c r="AI1">
        <v>17</v>
      </c>
      <c r="AJ1">
        <v>24</v>
      </c>
    </row>
    <row r="2" spans="1:37" s="1" customFormat="1" ht="87" x14ac:dyDescent="0.35">
      <c r="A2" s="1" t="s">
        <v>19</v>
      </c>
      <c r="B2" s="1" t="s">
        <v>42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11</v>
      </c>
      <c r="T2" s="1" t="s">
        <v>7</v>
      </c>
      <c r="U2" s="1" t="s">
        <v>3</v>
      </c>
      <c r="V2" s="1" t="s">
        <v>8</v>
      </c>
      <c r="W2" s="1" t="s">
        <v>13</v>
      </c>
      <c r="X2" s="1" t="s">
        <v>2</v>
      </c>
      <c r="Y2" s="1" t="s">
        <v>6</v>
      </c>
      <c r="Z2" s="1" t="s">
        <v>10</v>
      </c>
      <c r="AA2" s="1" t="s">
        <v>12</v>
      </c>
      <c r="AB2" s="1" t="s">
        <v>9</v>
      </c>
      <c r="AC2" s="1" t="s">
        <v>5</v>
      </c>
      <c r="AD2" s="1" t="s">
        <v>0</v>
      </c>
      <c r="AE2" s="1" t="s">
        <v>1</v>
      </c>
      <c r="AF2" s="1" t="s">
        <v>4</v>
      </c>
      <c r="AG2" s="1" t="s">
        <v>16</v>
      </c>
      <c r="AH2" s="1" t="s">
        <v>14</v>
      </c>
      <c r="AI2" s="1" t="s">
        <v>15</v>
      </c>
      <c r="AJ2" s="1" t="s">
        <v>17</v>
      </c>
      <c r="AK2" s="1" t="s">
        <v>47</v>
      </c>
    </row>
    <row r="3" spans="1:37" x14ac:dyDescent="0.35">
      <c r="A3" t="s">
        <v>31</v>
      </c>
      <c r="B3" t="s">
        <v>20</v>
      </c>
      <c r="C3">
        <v>548</v>
      </c>
      <c r="D3">
        <v>569</v>
      </c>
      <c r="E3">
        <v>1117</v>
      </c>
      <c r="F3">
        <v>458</v>
      </c>
      <c r="G3">
        <v>513</v>
      </c>
      <c r="H3">
        <v>971</v>
      </c>
      <c r="I3">
        <v>7</v>
      </c>
      <c r="J3">
        <v>3</v>
      </c>
      <c r="K3">
        <v>10</v>
      </c>
      <c r="L3">
        <v>11</v>
      </c>
      <c r="M3">
        <v>7</v>
      </c>
      <c r="N3">
        <v>18</v>
      </c>
      <c r="O3">
        <v>371</v>
      </c>
      <c r="P3">
        <v>593</v>
      </c>
      <c r="Q3">
        <v>19</v>
      </c>
      <c r="R3">
        <v>983</v>
      </c>
      <c r="S3">
        <v>76</v>
      </c>
      <c r="T3">
        <v>264</v>
      </c>
      <c r="U3">
        <v>41</v>
      </c>
      <c r="V3">
        <v>24</v>
      </c>
      <c r="W3">
        <v>39</v>
      </c>
      <c r="X3">
        <v>2</v>
      </c>
      <c r="Y3">
        <v>2</v>
      </c>
      <c r="Z3">
        <v>50</v>
      </c>
      <c r="AA3">
        <v>0</v>
      </c>
      <c r="AB3">
        <v>6</v>
      </c>
      <c r="AC3">
        <v>2</v>
      </c>
      <c r="AD3">
        <v>13</v>
      </c>
      <c r="AE3">
        <v>7</v>
      </c>
      <c r="AF3">
        <v>371</v>
      </c>
      <c r="AG3">
        <v>3</v>
      </c>
      <c r="AH3">
        <v>0</v>
      </c>
      <c r="AI3">
        <v>40</v>
      </c>
      <c r="AJ3">
        <v>0</v>
      </c>
      <c r="AK3">
        <v>940</v>
      </c>
    </row>
    <row r="4" spans="1:37" x14ac:dyDescent="0.35">
      <c r="A4" t="s">
        <v>32</v>
      </c>
      <c r="B4" t="s">
        <v>21</v>
      </c>
      <c r="C4">
        <v>446</v>
      </c>
      <c r="D4">
        <v>460</v>
      </c>
      <c r="E4">
        <v>906</v>
      </c>
      <c r="F4">
        <v>386</v>
      </c>
      <c r="G4">
        <v>409</v>
      </c>
      <c r="H4">
        <v>795</v>
      </c>
      <c r="I4">
        <v>6</v>
      </c>
      <c r="J4">
        <v>7</v>
      </c>
      <c r="K4">
        <v>13</v>
      </c>
      <c r="L4">
        <v>5</v>
      </c>
      <c r="M4">
        <v>1</v>
      </c>
      <c r="N4">
        <v>6</v>
      </c>
      <c r="O4">
        <v>332</v>
      </c>
      <c r="P4">
        <v>460</v>
      </c>
      <c r="Q4">
        <v>15</v>
      </c>
      <c r="R4">
        <v>807</v>
      </c>
      <c r="S4">
        <v>76</v>
      </c>
      <c r="T4">
        <v>193</v>
      </c>
      <c r="U4">
        <v>66</v>
      </c>
      <c r="V4">
        <v>30</v>
      </c>
      <c r="W4">
        <v>49</v>
      </c>
      <c r="X4">
        <v>2</v>
      </c>
      <c r="Y4">
        <v>4</v>
      </c>
      <c r="Z4">
        <v>33</v>
      </c>
      <c r="AA4">
        <v>1</v>
      </c>
      <c r="AB4">
        <v>0</v>
      </c>
      <c r="AC4">
        <v>0</v>
      </c>
      <c r="AD4">
        <v>11</v>
      </c>
      <c r="AE4">
        <v>12</v>
      </c>
      <c r="AF4">
        <v>278</v>
      </c>
      <c r="AG4">
        <v>0</v>
      </c>
      <c r="AH4">
        <v>0</v>
      </c>
      <c r="AI4">
        <v>30</v>
      </c>
      <c r="AJ4">
        <v>1</v>
      </c>
      <c r="AK4">
        <v>786</v>
      </c>
    </row>
    <row r="5" spans="1:37" x14ac:dyDescent="0.35">
      <c r="A5" t="s">
        <v>33</v>
      </c>
      <c r="B5" t="s">
        <v>22</v>
      </c>
      <c r="C5">
        <v>415</v>
      </c>
      <c r="D5">
        <v>398</v>
      </c>
      <c r="E5">
        <v>813</v>
      </c>
      <c r="F5">
        <v>330</v>
      </c>
      <c r="G5">
        <v>349</v>
      </c>
      <c r="H5">
        <v>679</v>
      </c>
      <c r="I5">
        <v>3</v>
      </c>
      <c r="J5">
        <v>4</v>
      </c>
      <c r="K5">
        <v>7</v>
      </c>
      <c r="L5">
        <v>4</v>
      </c>
      <c r="M5">
        <v>5</v>
      </c>
      <c r="N5">
        <v>9</v>
      </c>
      <c r="O5">
        <v>123</v>
      </c>
      <c r="P5">
        <v>554</v>
      </c>
      <c r="Q5">
        <v>13</v>
      </c>
      <c r="R5">
        <v>690</v>
      </c>
      <c r="S5">
        <v>38</v>
      </c>
      <c r="T5">
        <v>315</v>
      </c>
      <c r="U5">
        <v>53</v>
      </c>
      <c r="V5">
        <v>13</v>
      </c>
      <c r="W5">
        <v>25</v>
      </c>
      <c r="X5">
        <v>3</v>
      </c>
      <c r="Y5">
        <v>1</v>
      </c>
      <c r="Z5">
        <v>61</v>
      </c>
      <c r="AA5">
        <v>0</v>
      </c>
      <c r="AB5">
        <v>3</v>
      </c>
      <c r="AC5">
        <v>0</v>
      </c>
      <c r="AD5">
        <v>2</v>
      </c>
      <c r="AE5">
        <v>2</v>
      </c>
      <c r="AF5">
        <v>128</v>
      </c>
      <c r="AG5">
        <v>4</v>
      </c>
      <c r="AH5">
        <v>1</v>
      </c>
      <c r="AI5">
        <v>18</v>
      </c>
      <c r="AJ5">
        <v>0</v>
      </c>
      <c r="AK5">
        <v>667</v>
      </c>
    </row>
    <row r="6" spans="1:37" x14ac:dyDescent="0.35">
      <c r="A6" t="s">
        <v>34</v>
      </c>
      <c r="B6" t="s">
        <v>23</v>
      </c>
      <c r="C6">
        <v>453</v>
      </c>
      <c r="D6">
        <v>442</v>
      </c>
      <c r="E6">
        <v>895</v>
      </c>
      <c r="F6">
        <v>398</v>
      </c>
      <c r="G6">
        <v>408</v>
      </c>
      <c r="H6">
        <v>806</v>
      </c>
      <c r="I6">
        <v>12</v>
      </c>
      <c r="J6">
        <v>7</v>
      </c>
      <c r="K6">
        <v>19</v>
      </c>
      <c r="L6">
        <v>14</v>
      </c>
      <c r="M6">
        <v>10</v>
      </c>
      <c r="N6">
        <v>24</v>
      </c>
      <c r="O6">
        <v>301</v>
      </c>
      <c r="P6">
        <v>525</v>
      </c>
      <c r="Q6">
        <v>9</v>
      </c>
      <c r="R6">
        <v>835</v>
      </c>
      <c r="S6">
        <v>50</v>
      </c>
      <c r="T6">
        <v>211</v>
      </c>
      <c r="U6">
        <v>41</v>
      </c>
      <c r="V6">
        <v>33</v>
      </c>
      <c r="W6">
        <v>73</v>
      </c>
      <c r="X6">
        <v>8</v>
      </c>
      <c r="Y6">
        <v>5</v>
      </c>
      <c r="Z6">
        <v>26</v>
      </c>
      <c r="AA6">
        <v>2</v>
      </c>
      <c r="AB6">
        <v>4</v>
      </c>
      <c r="AC6">
        <v>1</v>
      </c>
      <c r="AD6">
        <v>2</v>
      </c>
      <c r="AE6">
        <v>8</v>
      </c>
      <c r="AF6">
        <v>196</v>
      </c>
      <c r="AG6">
        <v>0</v>
      </c>
      <c r="AH6">
        <v>1</v>
      </c>
      <c r="AI6">
        <v>126</v>
      </c>
      <c r="AJ6">
        <v>0</v>
      </c>
      <c r="AK6">
        <v>787</v>
      </c>
    </row>
    <row r="7" spans="1:37" x14ac:dyDescent="0.35">
      <c r="A7" t="s">
        <v>35</v>
      </c>
      <c r="B7" t="s">
        <v>24</v>
      </c>
      <c r="C7">
        <v>78</v>
      </c>
      <c r="D7">
        <v>71</v>
      </c>
      <c r="E7">
        <v>149</v>
      </c>
      <c r="F7">
        <v>55</v>
      </c>
      <c r="G7">
        <v>60</v>
      </c>
      <c r="H7">
        <v>115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59</v>
      </c>
      <c r="P7">
        <v>55</v>
      </c>
      <c r="Q7">
        <v>2</v>
      </c>
      <c r="R7">
        <v>116</v>
      </c>
      <c r="S7">
        <v>6</v>
      </c>
      <c r="T7">
        <v>15</v>
      </c>
      <c r="U7">
        <v>0</v>
      </c>
      <c r="V7">
        <v>8</v>
      </c>
      <c r="W7">
        <v>3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78</v>
      </c>
      <c r="AG7">
        <v>0</v>
      </c>
      <c r="AH7">
        <v>0</v>
      </c>
      <c r="AI7">
        <v>2</v>
      </c>
      <c r="AJ7">
        <v>0</v>
      </c>
      <c r="AK7">
        <v>114</v>
      </c>
    </row>
    <row r="8" spans="1:37" x14ac:dyDescent="0.35">
      <c r="A8" t="s">
        <v>36</v>
      </c>
      <c r="B8" t="s">
        <v>25</v>
      </c>
      <c r="C8">
        <v>248</v>
      </c>
      <c r="D8">
        <v>250</v>
      </c>
      <c r="E8">
        <v>498</v>
      </c>
      <c r="F8">
        <v>219</v>
      </c>
      <c r="G8">
        <v>222</v>
      </c>
      <c r="H8">
        <v>441</v>
      </c>
      <c r="I8">
        <v>3</v>
      </c>
      <c r="J8">
        <v>4</v>
      </c>
      <c r="K8">
        <v>7</v>
      </c>
      <c r="L8">
        <v>4</v>
      </c>
      <c r="M8">
        <v>4</v>
      </c>
      <c r="N8">
        <v>8</v>
      </c>
      <c r="O8">
        <v>147</v>
      </c>
      <c r="P8">
        <v>278</v>
      </c>
      <c r="Q8">
        <v>26</v>
      </c>
      <c r="R8">
        <v>451</v>
      </c>
      <c r="S8">
        <v>85</v>
      </c>
      <c r="T8">
        <v>205</v>
      </c>
      <c r="U8">
        <v>46</v>
      </c>
      <c r="V8">
        <v>8</v>
      </c>
      <c r="W8">
        <v>19</v>
      </c>
      <c r="X8">
        <v>5</v>
      </c>
      <c r="Y8">
        <v>2</v>
      </c>
      <c r="Z8">
        <v>4</v>
      </c>
      <c r="AA8">
        <v>2</v>
      </c>
      <c r="AB8">
        <v>1</v>
      </c>
      <c r="AC8">
        <v>2</v>
      </c>
      <c r="AD8">
        <v>1</v>
      </c>
      <c r="AE8">
        <v>1</v>
      </c>
      <c r="AF8">
        <v>39</v>
      </c>
      <c r="AG8">
        <v>1</v>
      </c>
      <c r="AH8">
        <v>1</v>
      </c>
      <c r="AI8">
        <v>1</v>
      </c>
      <c r="AJ8">
        <v>1</v>
      </c>
      <c r="AK8">
        <v>424</v>
      </c>
    </row>
    <row r="9" spans="1:37" x14ac:dyDescent="0.35">
      <c r="A9" t="s">
        <v>37</v>
      </c>
      <c r="B9" t="s">
        <v>26</v>
      </c>
      <c r="C9">
        <v>220</v>
      </c>
      <c r="D9">
        <v>173</v>
      </c>
      <c r="E9">
        <v>393</v>
      </c>
      <c r="F9">
        <v>181</v>
      </c>
      <c r="G9">
        <v>150</v>
      </c>
      <c r="H9">
        <v>331</v>
      </c>
      <c r="I9">
        <v>4</v>
      </c>
      <c r="J9">
        <v>5</v>
      </c>
      <c r="K9">
        <v>9</v>
      </c>
      <c r="L9">
        <v>1</v>
      </c>
      <c r="M9">
        <v>5</v>
      </c>
      <c r="N9">
        <v>6</v>
      </c>
      <c r="O9">
        <v>108</v>
      </c>
      <c r="P9">
        <v>220</v>
      </c>
      <c r="Q9">
        <v>14</v>
      </c>
      <c r="R9">
        <v>342</v>
      </c>
      <c r="S9">
        <v>48</v>
      </c>
      <c r="T9">
        <v>94</v>
      </c>
      <c r="U9">
        <v>104</v>
      </c>
      <c r="V9">
        <v>6</v>
      </c>
      <c r="W9">
        <v>4</v>
      </c>
      <c r="X9">
        <v>2</v>
      </c>
      <c r="Y9">
        <v>2</v>
      </c>
      <c r="Z9">
        <v>1</v>
      </c>
      <c r="AA9">
        <v>2</v>
      </c>
      <c r="AB9">
        <v>1</v>
      </c>
      <c r="AC9">
        <v>1</v>
      </c>
      <c r="AD9">
        <v>1</v>
      </c>
      <c r="AE9">
        <v>7</v>
      </c>
      <c r="AF9">
        <v>49</v>
      </c>
      <c r="AG9">
        <v>0</v>
      </c>
      <c r="AH9">
        <v>0</v>
      </c>
      <c r="AI9">
        <v>3</v>
      </c>
      <c r="AJ9">
        <v>2</v>
      </c>
      <c r="AK9">
        <v>327</v>
      </c>
    </row>
    <row r="10" spans="1:37" x14ac:dyDescent="0.35">
      <c r="A10" t="s">
        <v>38</v>
      </c>
      <c r="B10" t="s">
        <v>27</v>
      </c>
      <c r="C10">
        <v>104</v>
      </c>
      <c r="D10">
        <v>100</v>
      </c>
      <c r="E10">
        <v>204</v>
      </c>
      <c r="F10">
        <v>89</v>
      </c>
      <c r="G10">
        <v>84</v>
      </c>
      <c r="H10">
        <v>173</v>
      </c>
      <c r="I10">
        <v>0</v>
      </c>
      <c r="J10">
        <v>1</v>
      </c>
      <c r="K10">
        <v>1</v>
      </c>
      <c r="L10">
        <v>1</v>
      </c>
      <c r="M10">
        <v>1</v>
      </c>
      <c r="N10">
        <v>2</v>
      </c>
      <c r="O10">
        <v>82</v>
      </c>
      <c r="P10">
        <v>92</v>
      </c>
      <c r="Q10">
        <v>2</v>
      </c>
      <c r="R10">
        <v>176</v>
      </c>
      <c r="S10">
        <v>37</v>
      </c>
      <c r="T10">
        <v>46</v>
      </c>
      <c r="U10">
        <v>6</v>
      </c>
      <c r="V10">
        <v>2</v>
      </c>
      <c r="W10">
        <v>4</v>
      </c>
      <c r="X10">
        <v>2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71</v>
      </c>
      <c r="AG10">
        <v>1</v>
      </c>
      <c r="AH10">
        <v>0</v>
      </c>
      <c r="AI10">
        <v>2</v>
      </c>
      <c r="AJ10">
        <v>0</v>
      </c>
      <c r="AK10">
        <v>173</v>
      </c>
    </row>
    <row r="11" spans="1:37" x14ac:dyDescent="0.35">
      <c r="A11" t="s">
        <v>39</v>
      </c>
      <c r="B11" t="s">
        <v>28</v>
      </c>
      <c r="C11">
        <v>133</v>
      </c>
      <c r="D11">
        <v>131</v>
      </c>
      <c r="E11">
        <v>264</v>
      </c>
      <c r="F11">
        <v>104</v>
      </c>
      <c r="G11">
        <v>119</v>
      </c>
      <c r="H11">
        <v>223</v>
      </c>
      <c r="I11">
        <v>3</v>
      </c>
      <c r="J11">
        <v>4</v>
      </c>
      <c r="K11">
        <v>7</v>
      </c>
      <c r="L11">
        <v>1</v>
      </c>
      <c r="M11">
        <v>1</v>
      </c>
      <c r="N11">
        <v>2</v>
      </c>
      <c r="O11">
        <v>98</v>
      </c>
      <c r="P11">
        <v>127</v>
      </c>
      <c r="Q11">
        <v>5</v>
      </c>
      <c r="R11">
        <v>230</v>
      </c>
      <c r="S11">
        <v>16</v>
      </c>
      <c r="T11">
        <v>110</v>
      </c>
      <c r="U11">
        <v>6</v>
      </c>
      <c r="V11">
        <v>1</v>
      </c>
      <c r="W11">
        <v>2</v>
      </c>
      <c r="X11">
        <v>2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79</v>
      </c>
      <c r="AG11">
        <v>0</v>
      </c>
      <c r="AH11">
        <v>1</v>
      </c>
      <c r="AI11">
        <v>10</v>
      </c>
      <c r="AJ11">
        <v>0</v>
      </c>
      <c r="AK11">
        <v>229</v>
      </c>
    </row>
    <row r="12" spans="1:37" x14ac:dyDescent="0.35">
      <c r="A12" t="s">
        <v>40</v>
      </c>
      <c r="B12" t="s">
        <v>29</v>
      </c>
      <c r="C12">
        <v>151</v>
      </c>
      <c r="D12">
        <v>137</v>
      </c>
      <c r="E12">
        <v>288</v>
      </c>
      <c r="F12">
        <v>120</v>
      </c>
      <c r="G12">
        <v>118</v>
      </c>
      <c r="H12">
        <v>238</v>
      </c>
      <c r="I12">
        <v>3</v>
      </c>
      <c r="J12">
        <v>3</v>
      </c>
      <c r="K12">
        <v>6</v>
      </c>
      <c r="L12">
        <v>1</v>
      </c>
      <c r="M12">
        <v>0</v>
      </c>
      <c r="N12">
        <v>1</v>
      </c>
      <c r="O12">
        <v>48</v>
      </c>
      <c r="P12">
        <v>194</v>
      </c>
      <c r="Q12">
        <v>2</v>
      </c>
      <c r="R12">
        <v>244</v>
      </c>
      <c r="S12">
        <v>10</v>
      </c>
      <c r="T12">
        <v>29</v>
      </c>
      <c r="U12">
        <v>14</v>
      </c>
      <c r="V12">
        <v>26</v>
      </c>
      <c r="W12">
        <v>3</v>
      </c>
      <c r="X12">
        <v>1</v>
      </c>
      <c r="Y12">
        <v>0</v>
      </c>
      <c r="Z12">
        <v>21</v>
      </c>
      <c r="AA12">
        <v>0</v>
      </c>
      <c r="AB12">
        <v>0</v>
      </c>
      <c r="AC12">
        <v>1</v>
      </c>
      <c r="AD12">
        <v>1</v>
      </c>
      <c r="AE12">
        <v>5</v>
      </c>
      <c r="AF12">
        <v>114</v>
      </c>
      <c r="AG12">
        <v>1</v>
      </c>
      <c r="AH12">
        <v>3</v>
      </c>
      <c r="AI12">
        <v>7</v>
      </c>
      <c r="AJ12">
        <v>1</v>
      </c>
      <c r="AK12">
        <v>237</v>
      </c>
    </row>
    <row r="13" spans="1:37" x14ac:dyDescent="0.35">
      <c r="A13" t="s">
        <v>41</v>
      </c>
      <c r="B13" t="s">
        <v>30</v>
      </c>
      <c r="C13">
        <v>207</v>
      </c>
      <c r="D13">
        <v>229</v>
      </c>
      <c r="E13">
        <v>436</v>
      </c>
      <c r="F13">
        <v>168</v>
      </c>
      <c r="G13">
        <v>193</v>
      </c>
      <c r="H13">
        <v>361</v>
      </c>
      <c r="I13">
        <v>2</v>
      </c>
      <c r="J13">
        <v>2</v>
      </c>
      <c r="K13">
        <v>4</v>
      </c>
      <c r="L13">
        <v>3</v>
      </c>
      <c r="M13">
        <v>0</v>
      </c>
      <c r="N13">
        <v>3</v>
      </c>
      <c r="O13">
        <v>102</v>
      </c>
      <c r="P13">
        <v>259</v>
      </c>
      <c r="Q13">
        <v>3</v>
      </c>
      <c r="R13">
        <v>364</v>
      </c>
      <c r="S13">
        <v>50</v>
      </c>
      <c r="T13">
        <v>66</v>
      </c>
      <c r="U13">
        <v>23</v>
      </c>
      <c r="V13">
        <v>19</v>
      </c>
      <c r="W13">
        <v>34</v>
      </c>
      <c r="X13">
        <v>0</v>
      </c>
      <c r="Y13">
        <v>1</v>
      </c>
      <c r="Z13">
        <v>9</v>
      </c>
      <c r="AA13">
        <v>0</v>
      </c>
      <c r="AB13">
        <v>1</v>
      </c>
      <c r="AC13">
        <v>0</v>
      </c>
      <c r="AD13">
        <v>1</v>
      </c>
      <c r="AE13">
        <v>71</v>
      </c>
      <c r="AF13">
        <v>73</v>
      </c>
      <c r="AG13">
        <v>0</v>
      </c>
      <c r="AH13">
        <v>1</v>
      </c>
      <c r="AI13">
        <v>8</v>
      </c>
      <c r="AJ13">
        <v>0</v>
      </c>
      <c r="AK13">
        <v>357</v>
      </c>
    </row>
    <row r="14" spans="1:37" x14ac:dyDescent="0.35">
      <c r="A14" t="s">
        <v>18</v>
      </c>
      <c r="C14">
        <v>3003</v>
      </c>
      <c r="D14">
        <v>2960</v>
      </c>
      <c r="E14">
        <v>5963</v>
      </c>
      <c r="F14">
        <v>2508</v>
      </c>
      <c r="G14">
        <v>2625</v>
      </c>
      <c r="H14">
        <v>5133</v>
      </c>
      <c r="I14">
        <v>44</v>
      </c>
      <c r="J14">
        <v>40</v>
      </c>
      <c r="K14">
        <v>84</v>
      </c>
      <c r="L14">
        <v>45</v>
      </c>
      <c r="M14">
        <v>34</v>
      </c>
      <c r="N14">
        <v>79</v>
      </c>
      <c r="O14">
        <v>1771</v>
      </c>
      <c r="P14">
        <v>3357</v>
      </c>
      <c r="Q14">
        <v>110</v>
      </c>
      <c r="R14">
        <v>5238</v>
      </c>
      <c r="S14">
        <v>492</v>
      </c>
      <c r="T14">
        <v>1548</v>
      </c>
      <c r="U14">
        <v>400</v>
      </c>
      <c r="V14">
        <v>170</v>
      </c>
      <c r="W14">
        <v>255</v>
      </c>
      <c r="X14">
        <v>28</v>
      </c>
      <c r="Y14">
        <v>17</v>
      </c>
      <c r="Z14">
        <v>208</v>
      </c>
      <c r="AA14">
        <v>7</v>
      </c>
      <c r="AB14">
        <v>17</v>
      </c>
      <c r="AC14">
        <v>7</v>
      </c>
      <c r="AD14">
        <v>32</v>
      </c>
      <c r="AE14">
        <v>114</v>
      </c>
      <c r="AF14">
        <v>1476</v>
      </c>
      <c r="AG14">
        <v>10</v>
      </c>
      <c r="AH14">
        <v>8</v>
      </c>
      <c r="AI14">
        <v>247</v>
      </c>
      <c r="AJ14">
        <v>5</v>
      </c>
      <c r="AK14">
        <v>5041</v>
      </c>
    </row>
    <row r="21" spans="1:68" x14ac:dyDescent="0.35"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 t="s">
        <v>65</v>
      </c>
      <c r="H21" t="s">
        <v>66</v>
      </c>
      <c r="I21" t="s">
        <v>67</v>
      </c>
      <c r="J21" t="s">
        <v>68</v>
      </c>
      <c r="K21" t="s">
        <v>69</v>
      </c>
      <c r="L21" t="s">
        <v>70</v>
      </c>
      <c r="M21" t="s">
        <v>71</v>
      </c>
      <c r="N21" t="s">
        <v>72</v>
      </c>
      <c r="O21" t="s">
        <v>73</v>
      </c>
      <c r="P21" t="s">
        <v>74</v>
      </c>
      <c r="Q21" t="s">
        <v>75</v>
      </c>
      <c r="R21" t="s">
        <v>76</v>
      </c>
      <c r="S21" t="s">
        <v>77</v>
      </c>
      <c r="T21" t="s">
        <v>78</v>
      </c>
      <c r="U21" t="s">
        <v>79</v>
      </c>
      <c r="V21" t="s">
        <v>80</v>
      </c>
      <c r="W21" t="s">
        <v>81</v>
      </c>
      <c r="X21" t="s">
        <v>82</v>
      </c>
      <c r="Y21" t="s">
        <v>83</v>
      </c>
      <c r="Z21" t="s">
        <v>84</v>
      </c>
      <c r="AA21" t="s">
        <v>85</v>
      </c>
      <c r="AB21" t="s">
        <v>86</v>
      </c>
      <c r="AC21" t="s">
        <v>87</v>
      </c>
      <c r="AD21" t="s">
        <v>88</v>
      </c>
      <c r="AE21" t="s">
        <v>89</v>
      </c>
      <c r="AF21" t="s">
        <v>90</v>
      </c>
      <c r="AG21" t="s">
        <v>91</v>
      </c>
      <c r="AH21" t="s">
        <v>92</v>
      </c>
      <c r="AI21" t="s">
        <v>93</v>
      </c>
      <c r="AJ21" t="s">
        <v>94</v>
      </c>
      <c r="AK21" t="s">
        <v>95</v>
      </c>
      <c r="AL21" t="s">
        <v>96</v>
      </c>
      <c r="AM21" t="s">
        <v>97</v>
      </c>
      <c r="AN21" t="s">
        <v>98</v>
      </c>
      <c r="AO21" t="s">
        <v>99</v>
      </c>
      <c r="AP21" t="s">
        <v>100</v>
      </c>
      <c r="AQ21" t="s">
        <v>101</v>
      </c>
      <c r="AR21" t="s">
        <v>102</v>
      </c>
      <c r="AS21" t="s">
        <v>103</v>
      </c>
      <c r="AT21" t="s">
        <v>104</v>
      </c>
      <c r="AU21" t="s">
        <v>105</v>
      </c>
      <c r="AV21" t="s">
        <v>106</v>
      </c>
      <c r="AW21" t="s">
        <v>107</v>
      </c>
      <c r="AX21" t="s">
        <v>108</v>
      </c>
      <c r="AY21" t="s">
        <v>109</v>
      </c>
      <c r="AZ21" t="s">
        <v>110</v>
      </c>
      <c r="BA21" t="s">
        <v>111</v>
      </c>
      <c r="BB21" t="s">
        <v>112</v>
      </c>
      <c r="BC21" t="s">
        <v>113</v>
      </c>
      <c r="BD21" t="s">
        <v>114</v>
      </c>
      <c r="BE21" t="s">
        <v>115</v>
      </c>
      <c r="BF21" t="s">
        <v>116</v>
      </c>
      <c r="BG21" t="s">
        <v>117</v>
      </c>
      <c r="BH21" t="s">
        <v>118</v>
      </c>
      <c r="BI21" t="s">
        <v>119</v>
      </c>
      <c r="BJ21" t="s">
        <v>120</v>
      </c>
      <c r="BK21" t="s">
        <v>121</v>
      </c>
      <c r="BL21" t="s">
        <v>122</v>
      </c>
      <c r="BO21" t="s">
        <v>129</v>
      </c>
      <c r="BP21" t="s">
        <v>130</v>
      </c>
    </row>
    <row r="22" spans="1:68" x14ac:dyDescent="0.35">
      <c r="A22" t="s">
        <v>31</v>
      </c>
      <c r="B22">
        <v>534</v>
      </c>
      <c r="C22">
        <v>546</v>
      </c>
      <c r="D22">
        <v>1080</v>
      </c>
      <c r="E22">
        <v>128</v>
      </c>
      <c r="F22">
        <v>4</v>
      </c>
      <c r="G22">
        <v>254</v>
      </c>
      <c r="H22">
        <v>162</v>
      </c>
      <c r="I22">
        <v>333</v>
      </c>
      <c r="J22">
        <v>23</v>
      </c>
      <c r="K22">
        <v>33</v>
      </c>
      <c r="L22">
        <v>138</v>
      </c>
      <c r="M22">
        <v>4</v>
      </c>
      <c r="N22">
        <v>1</v>
      </c>
      <c r="O22">
        <v>562</v>
      </c>
      <c r="P22">
        <v>2</v>
      </c>
      <c r="Q22">
        <v>18</v>
      </c>
      <c r="R22">
        <v>266</v>
      </c>
      <c r="S22">
        <v>43</v>
      </c>
      <c r="T22">
        <v>2</v>
      </c>
      <c r="U22">
        <v>49</v>
      </c>
      <c r="V22">
        <v>0</v>
      </c>
      <c r="W22">
        <v>24</v>
      </c>
      <c r="X22">
        <v>20</v>
      </c>
      <c r="Y22">
        <v>14</v>
      </c>
      <c r="Z22">
        <v>6</v>
      </c>
      <c r="AA22">
        <v>2</v>
      </c>
      <c r="AB22">
        <v>10</v>
      </c>
      <c r="AC22">
        <v>6</v>
      </c>
      <c r="AD22">
        <v>15</v>
      </c>
      <c r="AE22">
        <v>1</v>
      </c>
      <c r="AF22">
        <v>2</v>
      </c>
      <c r="AG22">
        <v>1</v>
      </c>
      <c r="AH22">
        <v>1</v>
      </c>
      <c r="AI22">
        <v>6</v>
      </c>
      <c r="AJ22">
        <v>4</v>
      </c>
      <c r="AK22">
        <v>1</v>
      </c>
      <c r="AL22">
        <v>1</v>
      </c>
      <c r="AM22">
        <v>2</v>
      </c>
      <c r="AN22">
        <v>2</v>
      </c>
      <c r="AO22">
        <v>2</v>
      </c>
      <c r="AP22">
        <v>2</v>
      </c>
      <c r="AQ22">
        <v>5</v>
      </c>
      <c r="AR22">
        <v>0</v>
      </c>
      <c r="AS22">
        <v>4</v>
      </c>
      <c r="AT22">
        <v>1</v>
      </c>
      <c r="AU22">
        <v>2</v>
      </c>
      <c r="AV22">
        <v>1</v>
      </c>
      <c r="AW22">
        <v>1</v>
      </c>
      <c r="AX22">
        <v>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252</v>
      </c>
      <c r="BL22">
        <v>828</v>
      </c>
      <c r="BM22">
        <f t="shared" ref="BM22:BM33" si="0">SUM(BK22:BL22)</f>
        <v>1080</v>
      </c>
      <c r="BN22" t="str" cm="1">
        <f t="array" ref="BN22:BN32">B3:B13</f>
        <v>BATU PUTIH</v>
      </c>
      <c r="BO22" s="2">
        <f t="shared" ref="BO22:BO32" si="1">BK22/$BM22</f>
        <v>0.23333333333333334</v>
      </c>
      <c r="BP22" s="2">
        <f t="shared" ref="BP22:BP32" si="2">BL22/$BM22</f>
        <v>0.76666666666666672</v>
      </c>
    </row>
    <row r="23" spans="1:68" x14ac:dyDescent="0.35">
      <c r="A23" t="s">
        <v>32</v>
      </c>
      <c r="B23">
        <v>389</v>
      </c>
      <c r="C23">
        <v>406</v>
      </c>
      <c r="D23">
        <v>795</v>
      </c>
      <c r="E23">
        <v>58</v>
      </c>
      <c r="F23">
        <v>2</v>
      </c>
      <c r="G23">
        <v>225</v>
      </c>
      <c r="H23">
        <v>132</v>
      </c>
      <c r="I23">
        <v>283</v>
      </c>
      <c r="J23">
        <v>7</v>
      </c>
      <c r="K23">
        <v>19</v>
      </c>
      <c r="L23">
        <v>69</v>
      </c>
      <c r="M23">
        <v>0</v>
      </c>
      <c r="N23">
        <v>0</v>
      </c>
      <c r="O23">
        <v>483</v>
      </c>
      <c r="P23">
        <v>0</v>
      </c>
      <c r="Q23">
        <v>34</v>
      </c>
      <c r="R23">
        <v>152</v>
      </c>
      <c r="S23">
        <v>16</v>
      </c>
      <c r="T23">
        <v>0</v>
      </c>
      <c r="U23">
        <v>28</v>
      </c>
      <c r="V23">
        <v>0</v>
      </c>
      <c r="W23">
        <v>14</v>
      </c>
      <c r="X23">
        <v>9</v>
      </c>
      <c r="Y23">
        <v>5</v>
      </c>
      <c r="Z23">
        <v>3</v>
      </c>
      <c r="AA23">
        <v>2</v>
      </c>
      <c r="AB23">
        <v>12</v>
      </c>
      <c r="AC23">
        <v>0</v>
      </c>
      <c r="AD23">
        <v>10</v>
      </c>
      <c r="AE23">
        <v>0</v>
      </c>
      <c r="AF23">
        <v>2</v>
      </c>
      <c r="AG23">
        <v>0</v>
      </c>
      <c r="AH23">
        <v>0</v>
      </c>
      <c r="AI23">
        <v>3</v>
      </c>
      <c r="AJ23">
        <v>4</v>
      </c>
      <c r="AK23">
        <v>0</v>
      </c>
      <c r="AL23">
        <v>2</v>
      </c>
      <c r="AM23">
        <v>1</v>
      </c>
      <c r="AN23">
        <v>3</v>
      </c>
      <c r="AO23">
        <v>0</v>
      </c>
      <c r="AP23">
        <v>0</v>
      </c>
      <c r="AQ23">
        <v>6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3</v>
      </c>
      <c r="AZ23">
        <v>1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363</v>
      </c>
      <c r="BL23">
        <v>432</v>
      </c>
      <c r="BM23">
        <f t="shared" si="0"/>
        <v>795</v>
      </c>
      <c r="BN23" t="str">
        <v>LATOWU</v>
      </c>
      <c r="BO23" s="2">
        <f t="shared" si="1"/>
        <v>0.45660377358490567</v>
      </c>
      <c r="BP23" s="2">
        <f t="shared" si="2"/>
        <v>0.54339622641509433</v>
      </c>
    </row>
    <row r="24" spans="1:68" x14ac:dyDescent="0.35">
      <c r="A24" t="s">
        <v>33</v>
      </c>
      <c r="B24">
        <v>373</v>
      </c>
      <c r="C24">
        <v>359</v>
      </c>
      <c r="D24">
        <v>732</v>
      </c>
      <c r="E24">
        <v>27</v>
      </c>
      <c r="F24">
        <v>7</v>
      </c>
      <c r="G24">
        <v>209</v>
      </c>
      <c r="H24">
        <v>173</v>
      </c>
      <c r="I24">
        <v>257</v>
      </c>
      <c r="J24">
        <v>11</v>
      </c>
      <c r="K24">
        <v>7</v>
      </c>
      <c r="L24">
        <v>40</v>
      </c>
      <c r="M24">
        <v>1</v>
      </c>
      <c r="N24">
        <v>0</v>
      </c>
      <c r="O24">
        <v>332</v>
      </c>
      <c r="P24">
        <v>1</v>
      </c>
      <c r="Q24">
        <v>7</v>
      </c>
      <c r="R24">
        <v>287</v>
      </c>
      <c r="S24">
        <v>4</v>
      </c>
      <c r="T24">
        <v>0</v>
      </c>
      <c r="U24">
        <v>20</v>
      </c>
      <c r="V24">
        <v>0</v>
      </c>
      <c r="W24">
        <v>10</v>
      </c>
      <c r="X24">
        <v>14</v>
      </c>
      <c r="Y24">
        <v>5</v>
      </c>
      <c r="Z24">
        <v>3</v>
      </c>
      <c r="AA24">
        <v>1</v>
      </c>
      <c r="AB24">
        <v>11</v>
      </c>
      <c r="AC24">
        <v>0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1</v>
      </c>
      <c r="AJ24">
        <v>2</v>
      </c>
      <c r="AK24">
        <v>0</v>
      </c>
      <c r="AL24">
        <v>14</v>
      </c>
      <c r="AM24">
        <v>1</v>
      </c>
      <c r="AN24">
        <v>2</v>
      </c>
      <c r="AO24">
        <v>0</v>
      </c>
      <c r="AP24">
        <v>0</v>
      </c>
      <c r="AQ24">
        <v>9</v>
      </c>
      <c r="AR24">
        <v>0</v>
      </c>
      <c r="AS24">
        <v>3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177</v>
      </c>
      <c r="BL24">
        <v>555</v>
      </c>
      <c r="BM24">
        <f t="shared" si="0"/>
        <v>732</v>
      </c>
      <c r="BN24" t="str">
        <v>MOSIKU</v>
      </c>
      <c r="BO24" s="2">
        <f t="shared" si="1"/>
        <v>0.24180327868852458</v>
      </c>
      <c r="BP24" s="2">
        <f t="shared" si="2"/>
        <v>0.75819672131147542</v>
      </c>
    </row>
    <row r="25" spans="1:68" x14ac:dyDescent="0.35">
      <c r="A25" t="s">
        <v>34</v>
      </c>
      <c r="B25">
        <v>401</v>
      </c>
      <c r="C25">
        <v>435</v>
      </c>
      <c r="D25">
        <v>836</v>
      </c>
      <c r="E25">
        <v>65</v>
      </c>
      <c r="F25">
        <v>3</v>
      </c>
      <c r="G25">
        <v>269</v>
      </c>
      <c r="H25">
        <v>121</v>
      </c>
      <c r="I25">
        <v>271</v>
      </c>
      <c r="J25">
        <v>5</v>
      </c>
      <c r="K25">
        <v>16</v>
      </c>
      <c r="L25">
        <v>85</v>
      </c>
      <c r="M25">
        <v>1</v>
      </c>
      <c r="N25">
        <v>0</v>
      </c>
      <c r="O25">
        <v>409</v>
      </c>
      <c r="P25">
        <v>0</v>
      </c>
      <c r="Q25">
        <v>6</v>
      </c>
      <c r="R25">
        <v>273</v>
      </c>
      <c r="S25">
        <v>13</v>
      </c>
      <c r="T25">
        <v>0</v>
      </c>
      <c r="U25">
        <v>36</v>
      </c>
      <c r="V25">
        <v>0</v>
      </c>
      <c r="W25">
        <v>7</v>
      </c>
      <c r="X25">
        <v>12</v>
      </c>
      <c r="Y25">
        <v>7</v>
      </c>
      <c r="Z25">
        <v>2</v>
      </c>
      <c r="AA25">
        <v>0</v>
      </c>
      <c r="AB25">
        <v>4</v>
      </c>
      <c r="AC25">
        <v>0</v>
      </c>
      <c r="AD25">
        <v>4</v>
      </c>
      <c r="AE25">
        <v>2</v>
      </c>
      <c r="AF25">
        <v>0</v>
      </c>
      <c r="AG25">
        <v>0</v>
      </c>
      <c r="AH25">
        <v>0</v>
      </c>
      <c r="AI25">
        <v>2</v>
      </c>
      <c r="AJ25">
        <v>2</v>
      </c>
      <c r="AK25">
        <v>0</v>
      </c>
      <c r="AL25">
        <v>0</v>
      </c>
      <c r="AM25">
        <v>16</v>
      </c>
      <c r="AN25">
        <v>4</v>
      </c>
      <c r="AO25">
        <v>0</v>
      </c>
      <c r="AP25">
        <v>0</v>
      </c>
      <c r="AQ25">
        <v>4</v>
      </c>
      <c r="AR25">
        <v>0</v>
      </c>
      <c r="AS25">
        <v>0</v>
      </c>
      <c r="AT25">
        <v>0</v>
      </c>
      <c r="AU25">
        <v>2</v>
      </c>
      <c r="AV25">
        <v>0</v>
      </c>
      <c r="AW25">
        <v>0</v>
      </c>
      <c r="AX25">
        <v>0</v>
      </c>
      <c r="AY25">
        <v>6</v>
      </c>
      <c r="AZ25">
        <v>0</v>
      </c>
      <c r="BA25">
        <v>19</v>
      </c>
      <c r="BB25">
        <v>1</v>
      </c>
      <c r="BC25">
        <v>1</v>
      </c>
      <c r="BD25">
        <v>1</v>
      </c>
      <c r="BE25">
        <v>2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26</v>
      </c>
      <c r="BL25">
        <v>810</v>
      </c>
      <c r="BM25">
        <f t="shared" si="0"/>
        <v>836</v>
      </c>
      <c r="BN25" t="str">
        <v>LELEWAWO</v>
      </c>
      <c r="BO25" s="2">
        <f t="shared" si="1"/>
        <v>3.1100478468899521E-2</v>
      </c>
      <c r="BP25" s="2">
        <f t="shared" si="2"/>
        <v>0.96889952153110048</v>
      </c>
    </row>
    <row r="26" spans="1:68" x14ac:dyDescent="0.35">
      <c r="A26" t="s">
        <v>35</v>
      </c>
      <c r="B26">
        <v>70</v>
      </c>
      <c r="C26">
        <v>74</v>
      </c>
      <c r="D26">
        <v>144</v>
      </c>
      <c r="E26">
        <v>30</v>
      </c>
      <c r="F26">
        <v>4</v>
      </c>
      <c r="G26">
        <v>32</v>
      </c>
      <c r="H26">
        <v>19</v>
      </c>
      <c r="I26">
        <v>44</v>
      </c>
      <c r="J26">
        <v>0</v>
      </c>
      <c r="K26">
        <v>2</v>
      </c>
      <c r="L26">
        <v>13</v>
      </c>
      <c r="M26">
        <v>0</v>
      </c>
      <c r="N26">
        <v>0</v>
      </c>
      <c r="O26">
        <v>68</v>
      </c>
      <c r="P26">
        <v>0</v>
      </c>
      <c r="Q26">
        <v>4</v>
      </c>
      <c r="R26">
        <v>39</v>
      </c>
      <c r="S26">
        <v>4</v>
      </c>
      <c r="T26">
        <v>0</v>
      </c>
      <c r="U26">
        <v>5</v>
      </c>
      <c r="V26">
        <v>0</v>
      </c>
      <c r="W26">
        <v>7</v>
      </c>
      <c r="X26">
        <v>0</v>
      </c>
      <c r="Y26">
        <v>1</v>
      </c>
      <c r="Z26">
        <v>2</v>
      </c>
      <c r="AA26">
        <v>0</v>
      </c>
      <c r="AB26">
        <v>1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2</v>
      </c>
      <c r="AJ26">
        <v>0</v>
      </c>
      <c r="AK26">
        <v>0</v>
      </c>
      <c r="AL26">
        <v>2</v>
      </c>
      <c r="AM26">
        <v>0</v>
      </c>
      <c r="AN26">
        <v>0</v>
      </c>
      <c r="AO26">
        <v>0</v>
      </c>
      <c r="AP26">
        <v>1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5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58</v>
      </c>
      <c r="BL26">
        <v>86</v>
      </c>
      <c r="BM26">
        <f t="shared" si="0"/>
        <v>144</v>
      </c>
      <c r="BN26" t="str">
        <v>BATU API</v>
      </c>
      <c r="BO26" s="2">
        <f t="shared" si="1"/>
        <v>0.40277777777777779</v>
      </c>
      <c r="BP26" s="2">
        <f t="shared" si="2"/>
        <v>0.59722222222222221</v>
      </c>
    </row>
    <row r="27" spans="1:68" x14ac:dyDescent="0.35">
      <c r="A27" t="s">
        <v>36</v>
      </c>
      <c r="B27">
        <v>201</v>
      </c>
      <c r="C27">
        <v>212</v>
      </c>
      <c r="D27">
        <v>413</v>
      </c>
      <c r="E27">
        <v>56</v>
      </c>
      <c r="F27">
        <v>8</v>
      </c>
      <c r="G27">
        <v>144</v>
      </c>
      <c r="H27">
        <v>68</v>
      </c>
      <c r="I27">
        <v>97</v>
      </c>
      <c r="J27">
        <v>15</v>
      </c>
      <c r="K27">
        <v>4</v>
      </c>
      <c r="L27">
        <v>21</v>
      </c>
      <c r="M27">
        <v>0</v>
      </c>
      <c r="N27">
        <v>0</v>
      </c>
      <c r="O27">
        <v>193</v>
      </c>
      <c r="P27">
        <v>0</v>
      </c>
      <c r="Q27">
        <v>5</v>
      </c>
      <c r="R27">
        <v>160</v>
      </c>
      <c r="S27">
        <v>9</v>
      </c>
      <c r="T27">
        <v>0</v>
      </c>
      <c r="U27">
        <v>6</v>
      </c>
      <c r="V27">
        <v>0</v>
      </c>
      <c r="W27">
        <v>5</v>
      </c>
      <c r="X27">
        <v>7</v>
      </c>
      <c r="Y27">
        <v>1</v>
      </c>
      <c r="Z27">
        <v>5</v>
      </c>
      <c r="AA27">
        <v>1</v>
      </c>
      <c r="AB27">
        <v>4</v>
      </c>
      <c r="AC27">
        <v>0</v>
      </c>
      <c r="AD27">
        <v>5</v>
      </c>
      <c r="AE27">
        <v>0</v>
      </c>
      <c r="AF27">
        <v>1</v>
      </c>
      <c r="AG27">
        <v>0</v>
      </c>
      <c r="AH27">
        <v>0</v>
      </c>
      <c r="AI27">
        <v>5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64</v>
      </c>
      <c r="BL27">
        <v>349</v>
      </c>
      <c r="BM27">
        <f t="shared" si="0"/>
        <v>413</v>
      </c>
      <c r="BN27" t="str">
        <v>BUKIT TINGGI</v>
      </c>
      <c r="BO27" s="2">
        <f t="shared" si="1"/>
        <v>0.15496368038740921</v>
      </c>
      <c r="BP27" s="2">
        <f t="shared" si="2"/>
        <v>0.84503631961259085</v>
      </c>
    </row>
    <row r="28" spans="1:68" x14ac:dyDescent="0.35">
      <c r="A28" t="s">
        <v>37</v>
      </c>
      <c r="B28">
        <v>176</v>
      </c>
      <c r="C28">
        <v>161</v>
      </c>
      <c r="D28">
        <v>337</v>
      </c>
      <c r="E28">
        <v>51</v>
      </c>
      <c r="F28">
        <v>3</v>
      </c>
      <c r="G28">
        <v>171</v>
      </c>
      <c r="H28">
        <v>34</v>
      </c>
      <c r="I28">
        <v>63</v>
      </c>
      <c r="J28">
        <v>2</v>
      </c>
      <c r="K28">
        <v>4</v>
      </c>
      <c r="L28">
        <v>9</v>
      </c>
      <c r="M28">
        <v>0</v>
      </c>
      <c r="N28">
        <v>0</v>
      </c>
      <c r="O28">
        <v>182</v>
      </c>
      <c r="P28">
        <v>0</v>
      </c>
      <c r="Q28">
        <v>1</v>
      </c>
      <c r="R28">
        <v>144</v>
      </c>
      <c r="S28">
        <v>0</v>
      </c>
      <c r="T28">
        <v>0</v>
      </c>
      <c r="U28">
        <v>4</v>
      </c>
      <c r="V28">
        <v>0</v>
      </c>
      <c r="W28">
        <v>1</v>
      </c>
      <c r="X28">
        <v>2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15</v>
      </c>
      <c r="BL28">
        <v>322</v>
      </c>
      <c r="BM28">
        <f t="shared" si="0"/>
        <v>337</v>
      </c>
      <c r="BN28" t="str">
        <v>BUKIT BARU</v>
      </c>
      <c r="BO28" s="2">
        <f t="shared" si="1"/>
        <v>4.4510385756676561E-2</v>
      </c>
      <c r="BP28" s="2">
        <f t="shared" si="2"/>
        <v>0.95548961424332346</v>
      </c>
    </row>
    <row r="29" spans="1:68" x14ac:dyDescent="0.35">
      <c r="A29" t="s">
        <v>38</v>
      </c>
      <c r="B29">
        <v>85</v>
      </c>
      <c r="C29">
        <v>83</v>
      </c>
      <c r="D29">
        <v>168</v>
      </c>
      <c r="E29">
        <v>32</v>
      </c>
      <c r="F29">
        <v>1</v>
      </c>
      <c r="G29">
        <v>46</v>
      </c>
      <c r="H29">
        <v>29</v>
      </c>
      <c r="I29">
        <v>44</v>
      </c>
      <c r="J29">
        <v>3</v>
      </c>
      <c r="K29">
        <v>1</v>
      </c>
      <c r="L29">
        <v>12</v>
      </c>
      <c r="M29">
        <v>0</v>
      </c>
      <c r="N29">
        <v>0</v>
      </c>
      <c r="O29">
        <v>78</v>
      </c>
      <c r="P29">
        <v>0</v>
      </c>
      <c r="Q29">
        <v>1</v>
      </c>
      <c r="R29">
        <v>61</v>
      </c>
      <c r="S29">
        <v>2</v>
      </c>
      <c r="T29">
        <v>0</v>
      </c>
      <c r="U29">
        <v>4</v>
      </c>
      <c r="V29">
        <v>0</v>
      </c>
      <c r="W29">
        <v>1</v>
      </c>
      <c r="X29">
        <v>1</v>
      </c>
      <c r="Y29">
        <v>0</v>
      </c>
      <c r="Z29">
        <v>1</v>
      </c>
      <c r="AA29">
        <v>8</v>
      </c>
      <c r="AB29">
        <v>4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3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37</v>
      </c>
      <c r="BL29">
        <v>131</v>
      </c>
      <c r="BM29">
        <f t="shared" si="0"/>
        <v>168</v>
      </c>
      <c r="BN29" t="str">
        <v>PARUNG LAMPE</v>
      </c>
      <c r="BO29" s="2">
        <f t="shared" si="1"/>
        <v>0.22023809523809523</v>
      </c>
      <c r="BP29" s="2">
        <f t="shared" si="2"/>
        <v>0.77976190476190477</v>
      </c>
    </row>
    <row r="30" spans="1:68" x14ac:dyDescent="0.35">
      <c r="A30" t="s">
        <v>39</v>
      </c>
      <c r="B30">
        <v>120</v>
      </c>
      <c r="C30">
        <v>125</v>
      </c>
      <c r="D30">
        <v>245</v>
      </c>
      <c r="E30">
        <v>64</v>
      </c>
      <c r="F30">
        <v>2</v>
      </c>
      <c r="G30">
        <v>83</v>
      </c>
      <c r="H30">
        <v>30</v>
      </c>
      <c r="I30">
        <v>42</v>
      </c>
      <c r="J30">
        <v>4</v>
      </c>
      <c r="K30">
        <v>0</v>
      </c>
      <c r="L30">
        <v>20</v>
      </c>
      <c r="M30">
        <v>0</v>
      </c>
      <c r="N30">
        <v>0</v>
      </c>
      <c r="O30">
        <v>86</v>
      </c>
      <c r="P30">
        <v>0</v>
      </c>
      <c r="Q30">
        <v>0</v>
      </c>
      <c r="R30">
        <v>123</v>
      </c>
      <c r="S30">
        <v>2</v>
      </c>
      <c r="T30">
        <v>0</v>
      </c>
      <c r="U30">
        <v>8</v>
      </c>
      <c r="V30">
        <v>0</v>
      </c>
      <c r="W30">
        <v>1</v>
      </c>
      <c r="X30">
        <v>0</v>
      </c>
      <c r="Y30">
        <v>1</v>
      </c>
      <c r="Z30">
        <v>1</v>
      </c>
      <c r="AA30">
        <v>1</v>
      </c>
      <c r="AB30">
        <v>0</v>
      </c>
      <c r="AC30">
        <v>18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35</v>
      </c>
      <c r="BL30">
        <v>210</v>
      </c>
      <c r="BM30">
        <f t="shared" si="0"/>
        <v>245</v>
      </c>
      <c r="BN30" t="str">
        <v>PUNCAK HARAPAN</v>
      </c>
      <c r="BO30" s="2">
        <f t="shared" si="1"/>
        <v>0.14285714285714285</v>
      </c>
      <c r="BP30" s="2">
        <f t="shared" si="2"/>
        <v>0.8571428571428571</v>
      </c>
    </row>
    <row r="31" spans="1:68" x14ac:dyDescent="0.35">
      <c r="A31" t="s">
        <v>40</v>
      </c>
      <c r="B31">
        <v>99</v>
      </c>
      <c r="C31">
        <v>94</v>
      </c>
      <c r="D31">
        <v>193</v>
      </c>
      <c r="E31">
        <v>6</v>
      </c>
      <c r="F31">
        <v>2</v>
      </c>
      <c r="G31">
        <v>74</v>
      </c>
      <c r="H31">
        <v>32</v>
      </c>
      <c r="I31">
        <v>62</v>
      </c>
      <c r="J31">
        <v>7</v>
      </c>
      <c r="K31">
        <v>0</v>
      </c>
      <c r="L31">
        <v>10</v>
      </c>
      <c r="M31">
        <v>0</v>
      </c>
      <c r="N31">
        <v>0</v>
      </c>
      <c r="O31">
        <v>93</v>
      </c>
      <c r="P31">
        <v>0</v>
      </c>
      <c r="Q31">
        <v>5</v>
      </c>
      <c r="R31">
        <v>62</v>
      </c>
      <c r="S31">
        <v>12</v>
      </c>
      <c r="T31">
        <v>0</v>
      </c>
      <c r="U31">
        <v>3</v>
      </c>
      <c r="V31">
        <v>0</v>
      </c>
      <c r="W31">
        <v>0</v>
      </c>
      <c r="X31">
        <v>3</v>
      </c>
      <c r="Y31">
        <v>0</v>
      </c>
      <c r="Z31">
        <v>0</v>
      </c>
      <c r="AA31">
        <v>2</v>
      </c>
      <c r="AB31">
        <v>1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2</v>
      </c>
      <c r="BJ31">
        <v>0</v>
      </c>
      <c r="BK31">
        <v>10</v>
      </c>
      <c r="BL31">
        <v>183</v>
      </c>
      <c r="BM31">
        <f t="shared" si="0"/>
        <v>193</v>
      </c>
      <c r="BN31" t="str">
        <v>TETEBAWO</v>
      </c>
      <c r="BO31" s="2">
        <f t="shared" si="1"/>
        <v>5.181347150259067E-2</v>
      </c>
      <c r="BP31" s="2">
        <f t="shared" si="2"/>
        <v>0.94818652849740936</v>
      </c>
    </row>
    <row r="32" spans="1:68" x14ac:dyDescent="0.35">
      <c r="A32" t="s">
        <v>41</v>
      </c>
      <c r="B32">
        <v>182</v>
      </c>
      <c r="C32">
        <v>206</v>
      </c>
      <c r="D32">
        <v>388</v>
      </c>
      <c r="E32">
        <v>34</v>
      </c>
      <c r="F32">
        <v>3</v>
      </c>
      <c r="G32">
        <v>87</v>
      </c>
      <c r="H32">
        <v>47</v>
      </c>
      <c r="I32">
        <v>144</v>
      </c>
      <c r="J32">
        <v>0</v>
      </c>
      <c r="K32">
        <v>1</v>
      </c>
      <c r="L32">
        <v>71</v>
      </c>
      <c r="M32">
        <v>1</v>
      </c>
      <c r="N32">
        <v>0</v>
      </c>
      <c r="O32">
        <v>211</v>
      </c>
      <c r="P32">
        <v>0</v>
      </c>
      <c r="Q32">
        <v>10</v>
      </c>
      <c r="R32">
        <v>64</v>
      </c>
      <c r="S32">
        <v>22</v>
      </c>
      <c r="T32">
        <v>0</v>
      </c>
      <c r="U32">
        <v>8</v>
      </c>
      <c r="V32">
        <v>0</v>
      </c>
      <c r="W32">
        <v>10</v>
      </c>
      <c r="X32">
        <v>2</v>
      </c>
      <c r="Y32">
        <v>21</v>
      </c>
      <c r="Z32">
        <v>2</v>
      </c>
      <c r="AA32">
        <v>0</v>
      </c>
      <c r="AB32">
        <v>6</v>
      </c>
      <c r="AC32">
        <v>2</v>
      </c>
      <c r="AD32">
        <v>3</v>
      </c>
      <c r="AE32">
        <v>0</v>
      </c>
      <c r="AF32">
        <v>1</v>
      </c>
      <c r="AG32">
        <v>0</v>
      </c>
      <c r="AH32">
        <v>0</v>
      </c>
      <c r="AI32">
        <v>3</v>
      </c>
      <c r="AJ32">
        <v>1</v>
      </c>
      <c r="AK32">
        <v>1</v>
      </c>
      <c r="AL32">
        <v>0</v>
      </c>
      <c r="AM32">
        <v>1</v>
      </c>
      <c r="AN32">
        <v>2</v>
      </c>
      <c r="AO32">
        <v>0</v>
      </c>
      <c r="AP32">
        <v>0</v>
      </c>
      <c r="AQ32">
        <v>2</v>
      </c>
      <c r="AR32">
        <v>0</v>
      </c>
      <c r="AS32">
        <v>6</v>
      </c>
      <c r="AT32">
        <v>0</v>
      </c>
      <c r="AU32">
        <v>3</v>
      </c>
      <c r="AV32">
        <v>1</v>
      </c>
      <c r="AW32">
        <v>0</v>
      </c>
      <c r="AX32">
        <v>0</v>
      </c>
      <c r="AY32">
        <v>1</v>
      </c>
      <c r="AZ32">
        <v>0</v>
      </c>
      <c r="BA32">
        <v>2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88</v>
      </c>
      <c r="BL32">
        <v>300</v>
      </c>
      <c r="BM32">
        <f t="shared" si="0"/>
        <v>388</v>
      </c>
      <c r="BN32" t="str">
        <v>MAKKUASENG</v>
      </c>
      <c r="BO32" s="2">
        <f t="shared" si="1"/>
        <v>0.22680412371134021</v>
      </c>
      <c r="BP32" s="2">
        <f t="shared" si="2"/>
        <v>0.77319587628865982</v>
      </c>
    </row>
    <row r="33" spans="2:65" x14ac:dyDescent="0.35">
      <c r="O33">
        <f t="shared" ref="O33:BJ33" si="3">SUM(O22:O32)</f>
        <v>2697</v>
      </c>
      <c r="P33">
        <f t="shared" si="3"/>
        <v>3</v>
      </c>
      <c r="Q33">
        <f t="shared" si="3"/>
        <v>91</v>
      </c>
      <c r="R33">
        <f t="shared" si="3"/>
        <v>1631</v>
      </c>
      <c r="S33">
        <f t="shared" si="3"/>
        <v>127</v>
      </c>
      <c r="T33">
        <f t="shared" si="3"/>
        <v>2</v>
      </c>
      <c r="U33">
        <f t="shared" si="3"/>
        <v>171</v>
      </c>
      <c r="V33">
        <f t="shared" si="3"/>
        <v>0</v>
      </c>
      <c r="W33">
        <f t="shared" si="3"/>
        <v>80</v>
      </c>
      <c r="X33">
        <f t="shared" si="3"/>
        <v>70</v>
      </c>
      <c r="Y33">
        <f t="shared" si="3"/>
        <v>56</v>
      </c>
      <c r="Z33">
        <f t="shared" si="3"/>
        <v>25</v>
      </c>
      <c r="AA33">
        <f t="shared" si="3"/>
        <v>17</v>
      </c>
      <c r="AB33">
        <f t="shared" si="3"/>
        <v>53</v>
      </c>
      <c r="AC33">
        <f t="shared" si="3"/>
        <v>26</v>
      </c>
      <c r="AD33">
        <f t="shared" si="3"/>
        <v>40</v>
      </c>
      <c r="AE33">
        <f t="shared" si="3"/>
        <v>7</v>
      </c>
      <c r="AF33">
        <f t="shared" si="3"/>
        <v>9</v>
      </c>
      <c r="AG33">
        <f t="shared" si="3"/>
        <v>1</v>
      </c>
      <c r="AH33">
        <f t="shared" si="3"/>
        <v>1</v>
      </c>
      <c r="AI33">
        <f t="shared" si="3"/>
        <v>22</v>
      </c>
      <c r="AJ33">
        <f t="shared" si="3"/>
        <v>13</v>
      </c>
      <c r="AK33">
        <f t="shared" si="3"/>
        <v>3</v>
      </c>
      <c r="AL33">
        <f t="shared" si="3"/>
        <v>19</v>
      </c>
      <c r="AM33">
        <f t="shared" si="3"/>
        <v>23</v>
      </c>
      <c r="AN33">
        <f t="shared" si="3"/>
        <v>17</v>
      </c>
      <c r="AO33">
        <f t="shared" si="3"/>
        <v>2</v>
      </c>
      <c r="AP33">
        <f t="shared" si="3"/>
        <v>5</v>
      </c>
      <c r="AQ33">
        <f t="shared" si="3"/>
        <v>29</v>
      </c>
      <c r="AR33">
        <f t="shared" si="3"/>
        <v>0</v>
      </c>
      <c r="AS33">
        <f t="shared" si="3"/>
        <v>15</v>
      </c>
      <c r="AT33">
        <f t="shared" si="3"/>
        <v>1</v>
      </c>
      <c r="AU33">
        <f t="shared" si="3"/>
        <v>8</v>
      </c>
      <c r="AV33">
        <f t="shared" si="3"/>
        <v>2</v>
      </c>
      <c r="AW33">
        <f t="shared" si="3"/>
        <v>2</v>
      </c>
      <c r="AX33">
        <f t="shared" si="3"/>
        <v>2</v>
      </c>
      <c r="AY33">
        <f t="shared" si="3"/>
        <v>20</v>
      </c>
      <c r="AZ33">
        <f t="shared" si="3"/>
        <v>1</v>
      </c>
      <c r="BA33">
        <f t="shared" si="3"/>
        <v>25</v>
      </c>
      <c r="BB33">
        <f t="shared" si="3"/>
        <v>2</v>
      </c>
      <c r="BC33">
        <f t="shared" si="3"/>
        <v>1</v>
      </c>
      <c r="BD33">
        <f t="shared" si="3"/>
        <v>2</v>
      </c>
      <c r="BE33">
        <f t="shared" si="3"/>
        <v>2</v>
      </c>
      <c r="BF33">
        <f t="shared" si="3"/>
        <v>1</v>
      </c>
      <c r="BG33">
        <f t="shared" si="3"/>
        <v>2</v>
      </c>
      <c r="BH33">
        <f t="shared" si="3"/>
        <v>1</v>
      </c>
      <c r="BI33">
        <f t="shared" si="3"/>
        <v>2</v>
      </c>
      <c r="BJ33">
        <f t="shared" si="3"/>
        <v>2</v>
      </c>
      <c r="BM33">
        <f t="shared" si="0"/>
        <v>0</v>
      </c>
    </row>
    <row r="36" spans="2:65" x14ac:dyDescent="0.35">
      <c r="B36" t="s">
        <v>42</v>
      </c>
      <c r="C36" t="s">
        <v>50</v>
      </c>
      <c r="D36" t="s">
        <v>62</v>
      </c>
    </row>
    <row r="37" spans="2:65" x14ac:dyDescent="0.35">
      <c r="B37" t="s">
        <v>20</v>
      </c>
      <c r="C37">
        <v>1117</v>
      </c>
      <c r="D37">
        <v>1080</v>
      </c>
    </row>
    <row r="38" spans="2:65" x14ac:dyDescent="0.35">
      <c r="B38" t="s">
        <v>21</v>
      </c>
      <c r="C38">
        <v>906</v>
      </c>
      <c r="D38">
        <v>795</v>
      </c>
    </row>
    <row r="39" spans="2:65" x14ac:dyDescent="0.35">
      <c r="B39" t="s">
        <v>22</v>
      </c>
      <c r="C39">
        <v>813</v>
      </c>
      <c r="D39">
        <v>732</v>
      </c>
    </row>
    <row r="40" spans="2:65" x14ac:dyDescent="0.35">
      <c r="B40" t="s">
        <v>23</v>
      </c>
      <c r="C40">
        <v>895</v>
      </c>
      <c r="D40">
        <v>836</v>
      </c>
      <c r="Q40" t="str">
        <f t="shared" ref="Q40:Q57" si="4">_xlfn.XLOOKUP(R40,$S$14:$AJ$14,$S$2:$AJ$2)</f>
        <v>Partai Kebangkitan Bangsa</v>
      </c>
      <c r="R40" cm="1">
        <f t="array" ref="R40:R57">TRANSPOSE(S14:AJ14)</f>
        <v>492</v>
      </c>
      <c r="S40">
        <f t="shared" ref="S40:S57" si="5">RANK(R40,$R$40:$R$57)</f>
        <v>3</v>
      </c>
      <c r="U40" t="str" cm="1">
        <f t="array" ref="U40:W57">_xlfn._xlws.SORT(Q40:S57,3)</f>
        <v>Partai Gerakan Indonesia Raya</v>
      </c>
      <c r="V40">
        <v>1548</v>
      </c>
      <c r="W40">
        <v>1</v>
      </c>
      <c r="Z40" t="s">
        <v>7</v>
      </c>
    </row>
    <row r="41" spans="2:65" x14ac:dyDescent="0.35">
      <c r="B41" t="s">
        <v>24</v>
      </c>
      <c r="C41">
        <v>149</v>
      </c>
      <c r="D41">
        <v>144</v>
      </c>
      <c r="Q41" t="str">
        <f t="shared" si="4"/>
        <v>Partai Gerakan Indonesia Raya</v>
      </c>
      <c r="R41">
        <v>1548</v>
      </c>
      <c r="S41">
        <f t="shared" si="5"/>
        <v>1</v>
      </c>
      <c r="U41" t="str">
        <v>Partai Demokrat</v>
      </c>
      <c r="V41">
        <v>1476</v>
      </c>
      <c r="W41">
        <v>2</v>
      </c>
      <c r="Z41" t="s">
        <v>4</v>
      </c>
    </row>
    <row r="42" spans="2:65" x14ac:dyDescent="0.35">
      <c r="B42" t="s">
        <v>25</v>
      </c>
      <c r="C42">
        <v>498</v>
      </c>
      <c r="D42">
        <v>413</v>
      </c>
      <c r="Q42" t="str">
        <f t="shared" si="4"/>
        <v>Partai Demokrasi Indonesia Perjuangan</v>
      </c>
      <c r="R42">
        <v>400</v>
      </c>
      <c r="S42">
        <f t="shared" si="5"/>
        <v>4</v>
      </c>
      <c r="U42" t="str">
        <v>Partai Kebangkitan Bangsa</v>
      </c>
      <c r="V42">
        <v>492</v>
      </c>
      <c r="W42">
        <v>3</v>
      </c>
      <c r="Z42" t="s">
        <v>11</v>
      </c>
    </row>
    <row r="43" spans="2:65" x14ac:dyDescent="0.35">
      <c r="B43" t="s">
        <v>26</v>
      </c>
      <c r="C43">
        <v>393</v>
      </c>
      <c r="D43">
        <v>337</v>
      </c>
      <c r="Q43" t="str">
        <f t="shared" si="4"/>
        <v>Partai Golongan Karya</v>
      </c>
      <c r="R43">
        <v>170</v>
      </c>
      <c r="S43">
        <f t="shared" si="5"/>
        <v>8</v>
      </c>
      <c r="U43" t="str">
        <v>Partai Demokrasi Indonesia Perjuangan</v>
      </c>
      <c r="V43">
        <v>400</v>
      </c>
      <c r="W43">
        <v>4</v>
      </c>
      <c r="Z43" t="s">
        <v>3</v>
      </c>
    </row>
    <row r="44" spans="2:65" x14ac:dyDescent="0.35">
      <c r="B44" t="s">
        <v>27</v>
      </c>
      <c r="C44">
        <v>204</v>
      </c>
      <c r="D44">
        <v>168</v>
      </c>
      <c r="Q44" t="str">
        <f t="shared" si="4"/>
        <v>Partai NasDem</v>
      </c>
      <c r="R44">
        <v>255</v>
      </c>
      <c r="S44">
        <f t="shared" si="5"/>
        <v>5</v>
      </c>
      <c r="U44" t="str">
        <v>Partai NasDem</v>
      </c>
      <c r="V44">
        <v>255</v>
      </c>
      <c r="W44">
        <v>5</v>
      </c>
      <c r="Z44" t="s">
        <v>13</v>
      </c>
    </row>
    <row r="45" spans="2:65" x14ac:dyDescent="0.35">
      <c r="B45" t="s">
        <v>28</v>
      </c>
      <c r="C45">
        <v>264</v>
      </c>
      <c r="D45">
        <v>245</v>
      </c>
      <c r="Q45" t="str">
        <f t="shared" si="4"/>
        <v>Partai Buruh</v>
      </c>
      <c r="R45">
        <v>28</v>
      </c>
      <c r="S45">
        <f t="shared" si="5"/>
        <v>11</v>
      </c>
      <c r="U45" t="str">
        <v>Partai Persatuan Pembangunan</v>
      </c>
      <c r="V45">
        <v>247</v>
      </c>
      <c r="W45">
        <v>6</v>
      </c>
    </row>
    <row r="46" spans="2:65" x14ac:dyDescent="0.35">
      <c r="B46" t="s">
        <v>29</v>
      </c>
      <c r="C46">
        <v>288</v>
      </c>
      <c r="D46">
        <v>193</v>
      </c>
      <c r="Q46" t="str">
        <f t="shared" si="4"/>
        <v>Partai Gelombang Rakyat Indonesia</v>
      </c>
      <c r="R46">
        <v>17</v>
      </c>
      <c r="S46">
        <f t="shared" si="5"/>
        <v>12</v>
      </c>
      <c r="U46" t="str">
        <v>Partai Keadilan Sejahtera</v>
      </c>
      <c r="V46">
        <v>208</v>
      </c>
      <c r="W46">
        <v>7</v>
      </c>
    </row>
    <row r="47" spans="2:65" x14ac:dyDescent="0.35">
      <c r="B47" t="s">
        <v>30</v>
      </c>
      <c r="C47">
        <v>436</v>
      </c>
      <c r="D47">
        <v>388</v>
      </c>
      <c r="Q47" t="str">
        <f t="shared" si="4"/>
        <v>Partai Keadilan Sejahtera</v>
      </c>
      <c r="R47">
        <v>208</v>
      </c>
      <c r="S47">
        <f t="shared" si="5"/>
        <v>7</v>
      </c>
      <c r="U47" t="str">
        <v>Partai Golongan Karya</v>
      </c>
      <c r="V47">
        <v>170</v>
      </c>
      <c r="W47">
        <v>8</v>
      </c>
    </row>
    <row r="48" spans="2:65" x14ac:dyDescent="0.35">
      <c r="Q48" t="str">
        <f t="shared" si="4"/>
        <v>Partai Kebangkitan Nusantara</v>
      </c>
      <c r="R48">
        <v>7</v>
      </c>
      <c r="S48">
        <f t="shared" si="5"/>
        <v>16</v>
      </c>
      <c r="U48" t="str">
        <v>Partai Bulan Bintang</v>
      </c>
      <c r="V48">
        <v>114</v>
      </c>
      <c r="W48">
        <v>9</v>
      </c>
    </row>
    <row r="49" spans="17:23" x14ac:dyDescent="0.35">
      <c r="Q49" t="str">
        <f t="shared" si="4"/>
        <v>Partai Gelombang Rakyat Indonesia</v>
      </c>
      <c r="R49">
        <v>17</v>
      </c>
      <c r="S49">
        <f t="shared" si="5"/>
        <v>12</v>
      </c>
      <c r="U49" t="str">
        <v>Partai Amanat Nasional</v>
      </c>
      <c r="V49">
        <v>32</v>
      </c>
      <c r="W49">
        <v>10</v>
      </c>
    </row>
    <row r="50" spans="17:23" x14ac:dyDescent="0.35">
      <c r="Q50" t="str">
        <f t="shared" si="4"/>
        <v>Partai Kebangkitan Nusantara</v>
      </c>
      <c r="R50">
        <v>7</v>
      </c>
      <c r="S50">
        <f t="shared" si="5"/>
        <v>16</v>
      </c>
      <c r="U50" t="str">
        <v>Partai Buruh</v>
      </c>
      <c r="V50">
        <v>28</v>
      </c>
      <c r="W50">
        <v>11</v>
      </c>
    </row>
    <row r="51" spans="17:23" x14ac:dyDescent="0.35">
      <c r="Q51" t="str">
        <f t="shared" si="4"/>
        <v>Partai Amanat Nasional</v>
      </c>
      <c r="R51">
        <v>32</v>
      </c>
      <c r="S51">
        <f t="shared" si="5"/>
        <v>10</v>
      </c>
      <c r="U51" t="str">
        <v>Partai Gelombang Rakyat Indonesia</v>
      </c>
      <c r="V51">
        <v>17</v>
      </c>
      <c r="W51">
        <v>12</v>
      </c>
    </row>
    <row r="52" spans="17:23" x14ac:dyDescent="0.35">
      <c r="Q52" t="str">
        <f t="shared" si="4"/>
        <v>Partai Bulan Bintang</v>
      </c>
      <c r="R52">
        <v>114</v>
      </c>
      <c r="S52">
        <f t="shared" si="5"/>
        <v>9</v>
      </c>
      <c r="U52" t="str">
        <v>Partai Gelombang Rakyat Indonesia</v>
      </c>
      <c r="V52">
        <v>17</v>
      </c>
      <c r="W52">
        <v>12</v>
      </c>
    </row>
    <row r="53" spans="17:23" x14ac:dyDescent="0.35">
      <c r="Q53" t="str">
        <f t="shared" si="4"/>
        <v>Partai Demokrat</v>
      </c>
      <c r="R53">
        <v>1476</v>
      </c>
      <c r="S53">
        <f t="shared" si="5"/>
        <v>2</v>
      </c>
      <c r="U53" t="str">
        <v>Partai Solidaritas Indonesia</v>
      </c>
      <c r="V53">
        <v>10</v>
      </c>
      <c r="W53">
        <v>14</v>
      </c>
    </row>
    <row r="54" spans="17:23" x14ac:dyDescent="0.35">
      <c r="Q54" t="str">
        <f t="shared" si="4"/>
        <v>Partai Solidaritas Indonesia</v>
      </c>
      <c r="R54">
        <v>10</v>
      </c>
      <c r="S54">
        <f t="shared" si="5"/>
        <v>14</v>
      </c>
      <c r="U54" t="str">
        <v>PARTAI PERINDO</v>
      </c>
      <c r="V54">
        <v>8</v>
      </c>
      <c r="W54">
        <v>15</v>
      </c>
    </row>
    <row r="55" spans="17:23" x14ac:dyDescent="0.35">
      <c r="Q55" t="str">
        <f t="shared" si="4"/>
        <v>PARTAI PERINDO</v>
      </c>
      <c r="R55">
        <v>8</v>
      </c>
      <c r="S55">
        <f t="shared" si="5"/>
        <v>15</v>
      </c>
      <c r="U55" t="str">
        <v>Partai Kebangkitan Nusantara</v>
      </c>
      <c r="V55">
        <v>7</v>
      </c>
      <c r="W55">
        <v>16</v>
      </c>
    </row>
    <row r="56" spans="17:23" x14ac:dyDescent="0.35">
      <c r="Q56" t="str">
        <f t="shared" si="4"/>
        <v>Partai Persatuan Pembangunan</v>
      </c>
      <c r="R56">
        <v>247</v>
      </c>
      <c r="S56">
        <f t="shared" si="5"/>
        <v>6</v>
      </c>
      <c r="U56" t="str">
        <v>Partai Kebangkitan Nusantara</v>
      </c>
      <c r="V56">
        <v>7</v>
      </c>
      <c r="W56">
        <v>16</v>
      </c>
    </row>
    <row r="57" spans="17:23" x14ac:dyDescent="0.35">
      <c r="Q57" t="str">
        <f t="shared" si="4"/>
        <v>Partai Ummat</v>
      </c>
      <c r="R57">
        <v>5</v>
      </c>
      <c r="S57">
        <f t="shared" si="5"/>
        <v>18</v>
      </c>
      <c r="U57" t="str">
        <v>Partai Ummat</v>
      </c>
      <c r="V57">
        <v>5</v>
      </c>
      <c r="W57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7127-5CFA-41C4-82C1-C344F0EE7DDD}">
  <dimension ref="A2:H25"/>
  <sheetViews>
    <sheetView zoomScale="115" zoomScaleNormal="115" workbookViewId="0">
      <selection activeCell="C17" sqref="C17"/>
    </sheetView>
  </sheetViews>
  <sheetFormatPr defaultRowHeight="14.5" x14ac:dyDescent="0.35"/>
  <cols>
    <col min="1" max="1" width="21" bestFit="1" customWidth="1"/>
    <col min="2" max="2" width="15.54296875" bestFit="1" customWidth="1"/>
  </cols>
  <sheetData>
    <row r="2" spans="1:8" x14ac:dyDescent="0.35">
      <c r="A2" t="s">
        <v>31</v>
      </c>
      <c r="B2">
        <f>SUM(Sheet1!E22:F22)</f>
        <v>132</v>
      </c>
      <c r="C2">
        <f>Sheet1!G22</f>
        <v>254</v>
      </c>
      <c r="D2">
        <f>Sheet1!H22</f>
        <v>162</v>
      </c>
      <c r="E2">
        <f>SUM(Sheet1!I22:J22)</f>
        <v>356</v>
      </c>
      <c r="F2">
        <f>SUM(Sheet1!K22:L22)</f>
        <v>171</v>
      </c>
      <c r="G2">
        <f>SUM(Sheet1!M22:N22)</f>
        <v>5</v>
      </c>
      <c r="H2">
        <f t="shared" ref="H2:H12" si="0">SUM(B2:G2)</f>
        <v>1080</v>
      </c>
    </row>
    <row r="3" spans="1:8" x14ac:dyDescent="0.35">
      <c r="A3" t="s">
        <v>32</v>
      </c>
      <c r="B3">
        <f>SUM(Sheet1!E23:F23)</f>
        <v>60</v>
      </c>
      <c r="C3">
        <f>Sheet1!G23</f>
        <v>225</v>
      </c>
      <c r="D3">
        <f>Sheet1!H23</f>
        <v>132</v>
      </c>
      <c r="E3">
        <f>SUM(Sheet1!I23:J23)</f>
        <v>290</v>
      </c>
      <c r="F3">
        <f>SUM(Sheet1!K23:L23)</f>
        <v>88</v>
      </c>
      <c r="G3">
        <f>SUM(Sheet1!M23:N23)</f>
        <v>0</v>
      </c>
      <c r="H3">
        <f t="shared" si="0"/>
        <v>795</v>
      </c>
    </row>
    <row r="4" spans="1:8" x14ac:dyDescent="0.35">
      <c r="A4" t="s">
        <v>33</v>
      </c>
      <c r="B4">
        <f>SUM(Sheet1!E24:F24)</f>
        <v>34</v>
      </c>
      <c r="C4">
        <f>Sheet1!G24</f>
        <v>209</v>
      </c>
      <c r="D4">
        <f>Sheet1!H24</f>
        <v>173</v>
      </c>
      <c r="E4">
        <f>SUM(Sheet1!I24:J24)</f>
        <v>268</v>
      </c>
      <c r="F4">
        <f>SUM(Sheet1!K24:L24)</f>
        <v>47</v>
      </c>
      <c r="G4">
        <f>SUM(Sheet1!M24:N24)</f>
        <v>1</v>
      </c>
      <c r="H4">
        <f t="shared" si="0"/>
        <v>732</v>
      </c>
    </row>
    <row r="5" spans="1:8" x14ac:dyDescent="0.35">
      <c r="A5" t="s">
        <v>34</v>
      </c>
      <c r="B5">
        <f>SUM(Sheet1!E25:F25)</f>
        <v>68</v>
      </c>
      <c r="C5">
        <f>Sheet1!G25</f>
        <v>269</v>
      </c>
      <c r="D5">
        <f>Sheet1!H25</f>
        <v>121</v>
      </c>
      <c r="E5">
        <f>SUM(Sheet1!I25:J25)</f>
        <v>276</v>
      </c>
      <c r="F5">
        <f>SUM(Sheet1!K25:L25)</f>
        <v>101</v>
      </c>
      <c r="G5">
        <f>SUM(Sheet1!M25:N25)</f>
        <v>1</v>
      </c>
      <c r="H5">
        <f t="shared" si="0"/>
        <v>836</v>
      </c>
    </row>
    <row r="6" spans="1:8" x14ac:dyDescent="0.35">
      <c r="A6" t="s">
        <v>35</v>
      </c>
      <c r="B6">
        <f>SUM(Sheet1!E26:F26)</f>
        <v>34</v>
      </c>
      <c r="C6">
        <f>Sheet1!G26</f>
        <v>32</v>
      </c>
      <c r="D6">
        <f>Sheet1!H26</f>
        <v>19</v>
      </c>
      <c r="E6">
        <f>SUM(Sheet1!I26:J26)</f>
        <v>44</v>
      </c>
      <c r="F6">
        <f>SUM(Sheet1!K26:L26)</f>
        <v>15</v>
      </c>
      <c r="G6">
        <f>SUM(Sheet1!M26:N26)</f>
        <v>0</v>
      </c>
      <c r="H6">
        <f t="shared" si="0"/>
        <v>144</v>
      </c>
    </row>
    <row r="7" spans="1:8" x14ac:dyDescent="0.35">
      <c r="A7" t="s">
        <v>36</v>
      </c>
      <c r="B7">
        <f>SUM(Sheet1!E27:F27)</f>
        <v>64</v>
      </c>
      <c r="C7">
        <f>Sheet1!G27</f>
        <v>144</v>
      </c>
      <c r="D7">
        <f>Sheet1!H27</f>
        <v>68</v>
      </c>
      <c r="E7">
        <f>SUM(Sheet1!I27:J27)</f>
        <v>112</v>
      </c>
      <c r="F7">
        <f>SUM(Sheet1!K27:L27)</f>
        <v>25</v>
      </c>
      <c r="G7">
        <f>SUM(Sheet1!M27:N27)</f>
        <v>0</v>
      </c>
      <c r="H7">
        <f t="shared" si="0"/>
        <v>413</v>
      </c>
    </row>
    <row r="8" spans="1:8" x14ac:dyDescent="0.35">
      <c r="A8" t="s">
        <v>37</v>
      </c>
      <c r="B8">
        <f>SUM(Sheet1!E28:F28)</f>
        <v>54</v>
      </c>
      <c r="C8">
        <f>Sheet1!G28</f>
        <v>171</v>
      </c>
      <c r="D8">
        <f>Sheet1!H28</f>
        <v>34</v>
      </c>
      <c r="E8">
        <f>SUM(Sheet1!I28:J28)</f>
        <v>65</v>
      </c>
      <c r="F8">
        <f>SUM(Sheet1!K28:L28)</f>
        <v>13</v>
      </c>
      <c r="G8">
        <f>SUM(Sheet1!M28:N28)</f>
        <v>0</v>
      </c>
      <c r="H8">
        <f t="shared" si="0"/>
        <v>337</v>
      </c>
    </row>
    <row r="9" spans="1:8" x14ac:dyDescent="0.35">
      <c r="A9" t="s">
        <v>38</v>
      </c>
      <c r="B9">
        <f>SUM(Sheet1!E29:F29)</f>
        <v>33</v>
      </c>
      <c r="C9">
        <f>Sheet1!G29</f>
        <v>46</v>
      </c>
      <c r="D9">
        <f>Sheet1!H29</f>
        <v>29</v>
      </c>
      <c r="E9">
        <f>SUM(Sheet1!I29:J29)</f>
        <v>47</v>
      </c>
      <c r="F9">
        <f>SUM(Sheet1!K29:L29)</f>
        <v>13</v>
      </c>
      <c r="G9">
        <f>SUM(Sheet1!M29:N29)</f>
        <v>0</v>
      </c>
      <c r="H9">
        <f t="shared" si="0"/>
        <v>168</v>
      </c>
    </row>
    <row r="10" spans="1:8" x14ac:dyDescent="0.35">
      <c r="A10" t="s">
        <v>39</v>
      </c>
      <c r="B10">
        <f>SUM(Sheet1!E30:F30)</f>
        <v>66</v>
      </c>
      <c r="C10">
        <f>Sheet1!G30</f>
        <v>83</v>
      </c>
      <c r="D10">
        <f>Sheet1!H30</f>
        <v>30</v>
      </c>
      <c r="E10">
        <f>SUM(Sheet1!I30:J30)</f>
        <v>46</v>
      </c>
      <c r="F10">
        <f>SUM(Sheet1!K30:L30)</f>
        <v>20</v>
      </c>
      <c r="G10">
        <f>SUM(Sheet1!M30:N30)</f>
        <v>0</v>
      </c>
      <c r="H10">
        <f t="shared" si="0"/>
        <v>245</v>
      </c>
    </row>
    <row r="11" spans="1:8" x14ac:dyDescent="0.35">
      <c r="A11" t="s">
        <v>40</v>
      </c>
      <c r="B11">
        <f>SUM(Sheet1!E31:F31)</f>
        <v>8</v>
      </c>
      <c r="C11">
        <f>Sheet1!G31</f>
        <v>74</v>
      </c>
      <c r="D11">
        <f>Sheet1!H31</f>
        <v>32</v>
      </c>
      <c r="E11">
        <f>SUM(Sheet1!I31:J31)</f>
        <v>69</v>
      </c>
      <c r="F11">
        <f>SUM(Sheet1!K31:L31)</f>
        <v>10</v>
      </c>
      <c r="G11">
        <f>SUM(Sheet1!M31:N31)</f>
        <v>0</v>
      </c>
      <c r="H11">
        <f t="shared" si="0"/>
        <v>193</v>
      </c>
    </row>
    <row r="12" spans="1:8" x14ac:dyDescent="0.35">
      <c r="A12" t="s">
        <v>41</v>
      </c>
      <c r="B12">
        <f>SUM(Sheet1!E32:F32)</f>
        <v>37</v>
      </c>
      <c r="C12">
        <f>Sheet1!G32</f>
        <v>87</v>
      </c>
      <c r="D12">
        <f>Sheet1!H32</f>
        <v>47</v>
      </c>
      <c r="E12">
        <f>SUM(Sheet1!I32:J32)</f>
        <v>144</v>
      </c>
      <c r="F12">
        <f>SUM(Sheet1!K32:L32)</f>
        <v>72</v>
      </c>
      <c r="G12">
        <f>SUM(Sheet1!M32:N32)</f>
        <v>1</v>
      </c>
      <c r="H12">
        <f t="shared" si="0"/>
        <v>388</v>
      </c>
    </row>
    <row r="14" spans="1:8" x14ac:dyDescent="0.35"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</row>
    <row r="15" spans="1:8" x14ac:dyDescent="0.35">
      <c r="A15" t="s">
        <v>20</v>
      </c>
      <c r="B15" s="2">
        <f t="shared" ref="B15:G25" si="1">B2/$H2</f>
        <v>0.12222222222222222</v>
      </c>
      <c r="C15" s="2">
        <f t="shared" si="1"/>
        <v>0.23518518518518519</v>
      </c>
      <c r="D15" s="2">
        <f t="shared" si="1"/>
        <v>0.15</v>
      </c>
      <c r="E15" s="2">
        <f t="shared" si="1"/>
        <v>0.32962962962962961</v>
      </c>
      <c r="F15" s="2">
        <f t="shared" si="1"/>
        <v>0.15833333333333333</v>
      </c>
      <c r="G15" s="2">
        <f t="shared" si="1"/>
        <v>4.6296296296296294E-3</v>
      </c>
    </row>
    <row r="16" spans="1:8" x14ac:dyDescent="0.35">
      <c r="A16" t="s">
        <v>21</v>
      </c>
      <c r="B16" s="2">
        <f t="shared" si="1"/>
        <v>7.5471698113207544E-2</v>
      </c>
      <c r="C16" s="2">
        <f t="shared" si="1"/>
        <v>0.28301886792452829</v>
      </c>
      <c r="D16" s="2">
        <f t="shared" si="1"/>
        <v>0.16603773584905659</v>
      </c>
      <c r="E16" s="2">
        <f t="shared" si="1"/>
        <v>0.36477987421383645</v>
      </c>
      <c r="F16" s="2">
        <f t="shared" si="1"/>
        <v>0.11069182389937107</v>
      </c>
      <c r="G16" s="2">
        <f t="shared" si="1"/>
        <v>0</v>
      </c>
    </row>
    <row r="17" spans="1:7" x14ac:dyDescent="0.35">
      <c r="A17" t="s">
        <v>22</v>
      </c>
      <c r="B17" s="2">
        <f t="shared" si="1"/>
        <v>4.6448087431693992E-2</v>
      </c>
      <c r="C17" s="2">
        <f t="shared" si="1"/>
        <v>0.28551912568306009</v>
      </c>
      <c r="D17" s="2">
        <f t="shared" si="1"/>
        <v>0.23633879781420766</v>
      </c>
      <c r="E17" s="2">
        <f t="shared" si="1"/>
        <v>0.36612021857923499</v>
      </c>
      <c r="F17" s="2">
        <f t="shared" si="1"/>
        <v>6.4207650273224046E-2</v>
      </c>
      <c r="G17" s="2">
        <f t="shared" si="1"/>
        <v>1.366120218579235E-3</v>
      </c>
    </row>
    <row r="18" spans="1:7" x14ac:dyDescent="0.35">
      <c r="A18" t="s">
        <v>23</v>
      </c>
      <c r="B18" s="2">
        <f t="shared" si="1"/>
        <v>8.1339712918660281E-2</v>
      </c>
      <c r="C18" s="2">
        <f t="shared" si="1"/>
        <v>0.32177033492822965</v>
      </c>
      <c r="D18" s="2">
        <f t="shared" si="1"/>
        <v>0.14473684210526316</v>
      </c>
      <c r="E18" s="2">
        <f t="shared" si="1"/>
        <v>0.33014354066985646</v>
      </c>
      <c r="F18" s="2">
        <f t="shared" si="1"/>
        <v>0.12081339712918661</v>
      </c>
      <c r="G18" s="2">
        <f t="shared" si="1"/>
        <v>1.1961722488038277E-3</v>
      </c>
    </row>
    <row r="19" spans="1:7" x14ac:dyDescent="0.35">
      <c r="A19" t="s">
        <v>24</v>
      </c>
      <c r="B19" s="2">
        <f t="shared" si="1"/>
        <v>0.2361111111111111</v>
      </c>
      <c r="C19" s="2">
        <f t="shared" si="1"/>
        <v>0.22222222222222221</v>
      </c>
      <c r="D19" s="2">
        <f t="shared" si="1"/>
        <v>0.13194444444444445</v>
      </c>
      <c r="E19" s="2">
        <f t="shared" si="1"/>
        <v>0.30555555555555558</v>
      </c>
      <c r="F19" s="2">
        <f t="shared" si="1"/>
        <v>0.10416666666666667</v>
      </c>
      <c r="G19" s="2">
        <f t="shared" si="1"/>
        <v>0</v>
      </c>
    </row>
    <row r="20" spans="1:7" x14ac:dyDescent="0.35">
      <c r="A20" t="s">
        <v>25</v>
      </c>
      <c r="B20" s="2">
        <f t="shared" si="1"/>
        <v>0.15496368038740921</v>
      </c>
      <c r="C20" s="2">
        <f t="shared" si="1"/>
        <v>0.34866828087167068</v>
      </c>
      <c r="D20" s="2">
        <f t="shared" si="1"/>
        <v>0.16464891041162227</v>
      </c>
      <c r="E20" s="2">
        <f t="shared" si="1"/>
        <v>0.2711864406779661</v>
      </c>
      <c r="F20" s="2">
        <f t="shared" si="1"/>
        <v>6.0532687651331719E-2</v>
      </c>
      <c r="G20" s="2">
        <f t="shared" si="1"/>
        <v>0</v>
      </c>
    </row>
    <row r="21" spans="1:7" x14ac:dyDescent="0.35">
      <c r="A21" t="s">
        <v>26</v>
      </c>
      <c r="B21" s="2">
        <f t="shared" si="1"/>
        <v>0.16023738872403562</v>
      </c>
      <c r="C21" s="2">
        <f t="shared" si="1"/>
        <v>0.50741839762611274</v>
      </c>
      <c r="D21" s="2">
        <f t="shared" si="1"/>
        <v>0.10089020771513353</v>
      </c>
      <c r="E21" s="2">
        <f t="shared" si="1"/>
        <v>0.19287833827893175</v>
      </c>
      <c r="F21" s="2">
        <f t="shared" si="1"/>
        <v>3.857566765578635E-2</v>
      </c>
      <c r="G21" s="2">
        <f t="shared" si="1"/>
        <v>0</v>
      </c>
    </row>
    <row r="22" spans="1:7" x14ac:dyDescent="0.35">
      <c r="A22" t="s">
        <v>27</v>
      </c>
      <c r="B22" s="2">
        <f t="shared" si="1"/>
        <v>0.19642857142857142</v>
      </c>
      <c r="C22" s="2">
        <f t="shared" si="1"/>
        <v>0.27380952380952384</v>
      </c>
      <c r="D22" s="2">
        <f t="shared" si="1"/>
        <v>0.17261904761904762</v>
      </c>
      <c r="E22" s="2">
        <f t="shared" si="1"/>
        <v>0.27976190476190477</v>
      </c>
      <c r="F22" s="2">
        <f t="shared" si="1"/>
        <v>7.7380952380952384E-2</v>
      </c>
      <c r="G22" s="2">
        <f t="shared" si="1"/>
        <v>0</v>
      </c>
    </row>
    <row r="23" spans="1:7" x14ac:dyDescent="0.35">
      <c r="A23" t="s">
        <v>28</v>
      </c>
      <c r="B23" s="2">
        <f t="shared" si="1"/>
        <v>0.26938775510204083</v>
      </c>
      <c r="C23" s="2">
        <f t="shared" si="1"/>
        <v>0.33877551020408164</v>
      </c>
      <c r="D23" s="2">
        <f t="shared" si="1"/>
        <v>0.12244897959183673</v>
      </c>
      <c r="E23" s="2">
        <f t="shared" si="1"/>
        <v>0.18775510204081633</v>
      </c>
      <c r="F23" s="2">
        <f t="shared" si="1"/>
        <v>8.1632653061224483E-2</v>
      </c>
      <c r="G23" s="2">
        <f t="shared" si="1"/>
        <v>0</v>
      </c>
    </row>
    <row r="24" spans="1:7" x14ac:dyDescent="0.35">
      <c r="A24" t="s">
        <v>29</v>
      </c>
      <c r="B24" s="2">
        <f t="shared" si="1"/>
        <v>4.145077720207254E-2</v>
      </c>
      <c r="C24" s="2">
        <f t="shared" si="1"/>
        <v>0.38341968911917096</v>
      </c>
      <c r="D24" s="2">
        <f t="shared" si="1"/>
        <v>0.16580310880829016</v>
      </c>
      <c r="E24" s="2">
        <f t="shared" si="1"/>
        <v>0.35751295336787564</v>
      </c>
      <c r="F24" s="2">
        <f t="shared" si="1"/>
        <v>5.181347150259067E-2</v>
      </c>
      <c r="G24" s="2">
        <f t="shared" si="1"/>
        <v>0</v>
      </c>
    </row>
    <row r="25" spans="1:7" x14ac:dyDescent="0.35">
      <c r="A25" t="s">
        <v>30</v>
      </c>
      <c r="B25" s="2">
        <f t="shared" si="1"/>
        <v>9.5360824742268036E-2</v>
      </c>
      <c r="C25" s="2">
        <f t="shared" si="1"/>
        <v>0.22422680412371135</v>
      </c>
      <c r="D25" s="2">
        <f t="shared" si="1"/>
        <v>0.1211340206185567</v>
      </c>
      <c r="E25" s="2">
        <f t="shared" si="1"/>
        <v>0.37113402061855671</v>
      </c>
      <c r="F25" s="2">
        <f t="shared" si="1"/>
        <v>0.18556701030927836</v>
      </c>
      <c r="G25" s="2">
        <f t="shared" si="1"/>
        <v>2.5773195876288659E-3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926E-AAF1-4B5E-A80D-78DB2F771695}">
  <dimension ref="C4:P30"/>
  <sheetViews>
    <sheetView workbookViewId="0">
      <selection activeCell="B6" sqref="B6"/>
    </sheetView>
  </sheetViews>
  <sheetFormatPr defaultRowHeight="14.5" x14ac:dyDescent="0.35"/>
  <cols>
    <col min="3" max="3" width="16.26953125" bestFit="1" customWidth="1"/>
    <col min="4" max="4" width="25.6328125" bestFit="1" customWidth="1"/>
    <col min="5" max="5" width="14.08984375" bestFit="1" customWidth="1"/>
  </cols>
  <sheetData>
    <row r="4" spans="3:16" x14ac:dyDescent="0.35">
      <c r="D4" t="s">
        <v>7</v>
      </c>
      <c r="E4" t="s">
        <v>4</v>
      </c>
      <c r="F4" t="s">
        <v>11</v>
      </c>
      <c r="G4" t="s">
        <v>3</v>
      </c>
      <c r="H4" t="s">
        <v>13</v>
      </c>
      <c r="M4" t="s">
        <v>43</v>
      </c>
      <c r="N4" t="s">
        <v>44</v>
      </c>
      <c r="O4" t="s">
        <v>45</v>
      </c>
    </row>
    <row r="5" spans="3:16" x14ac:dyDescent="0.35">
      <c r="C5" t="s">
        <v>31</v>
      </c>
      <c r="D5">
        <f>INDEX(Sheet1!$S$3:$AJ$13,MATCH($C5,Sheet1!$A$3:$A$13,0),MATCH(D$4,Sheet1!$S$2:$AJ$2,0))</f>
        <v>264</v>
      </c>
      <c r="E5">
        <f>INDEX(Sheet1!$S$3:$AJ$13,MATCH($C5,Sheet1!$A$3:$A$13,0),MATCH(E$4,Sheet1!$S$2:$AJ$2,0))</f>
        <v>371</v>
      </c>
      <c r="F5">
        <f>INDEX(Sheet1!$S$3:$AJ$13,MATCH($C5,Sheet1!$A$3:$A$13,0),MATCH(F$4,Sheet1!$S$2:$AJ$2,0))</f>
        <v>76</v>
      </c>
      <c r="G5">
        <f>INDEX(Sheet1!$S$3:$AJ$13,MATCH($C5,Sheet1!$A$3:$A$13,0),MATCH(G$4,Sheet1!$S$2:$AJ$2,0))</f>
        <v>41</v>
      </c>
      <c r="H5">
        <f>INDEX(Sheet1!$S$3:$AJ$13,MATCH($C5,Sheet1!$A$3:$A$13,0),MATCH(H$4,Sheet1!$S$2:$AJ$2,0))</f>
        <v>39</v>
      </c>
      <c r="I5" cm="1">
        <f t="array" ref="I5:I15">Sheet1!AK3:AK13</f>
        <v>940</v>
      </c>
      <c r="L5" t="s">
        <v>20</v>
      </c>
      <c r="M5">
        <v>371</v>
      </c>
      <c r="N5">
        <v>593</v>
      </c>
      <c r="O5">
        <v>19</v>
      </c>
      <c r="P5">
        <f t="shared" ref="P5:P15" si="0">SUM(M5:O5)</f>
        <v>983</v>
      </c>
    </row>
    <row r="6" spans="3:16" x14ac:dyDescent="0.35">
      <c r="C6" t="s">
        <v>32</v>
      </c>
      <c r="D6">
        <f>INDEX(Sheet1!$S$3:$AJ$13,MATCH($C6,Sheet1!$A$3:$A$13,0),MATCH(D$4,Sheet1!$S$2:$AJ$2,0))</f>
        <v>193</v>
      </c>
      <c r="E6">
        <f>INDEX(Sheet1!$S$3:$AJ$13,MATCH($C6,Sheet1!$A$3:$A$13,0),MATCH(E$4,Sheet1!$S$2:$AJ$2,0))</f>
        <v>278</v>
      </c>
      <c r="F6">
        <f>INDEX(Sheet1!$S$3:$AJ$13,MATCH($C6,Sheet1!$A$3:$A$13,0),MATCH(F$4,Sheet1!$S$2:$AJ$2,0))</f>
        <v>76</v>
      </c>
      <c r="G6">
        <f>INDEX(Sheet1!$S$3:$AJ$13,MATCH($C6,Sheet1!$A$3:$A$13,0),MATCH(G$4,Sheet1!$S$2:$AJ$2,0))</f>
        <v>66</v>
      </c>
      <c r="H6">
        <f>INDEX(Sheet1!$S$3:$AJ$13,MATCH($C6,Sheet1!$A$3:$A$13,0),MATCH(H$4,Sheet1!$S$2:$AJ$2,0))</f>
        <v>49</v>
      </c>
      <c r="I6">
        <v>786</v>
      </c>
      <c r="L6" t="s">
        <v>21</v>
      </c>
      <c r="M6">
        <v>332</v>
      </c>
      <c r="N6">
        <v>460</v>
      </c>
      <c r="O6">
        <v>15</v>
      </c>
      <c r="P6">
        <f t="shared" si="0"/>
        <v>807</v>
      </c>
    </row>
    <row r="7" spans="3:16" x14ac:dyDescent="0.35">
      <c r="C7" t="s">
        <v>33</v>
      </c>
      <c r="D7">
        <f>INDEX(Sheet1!$S$3:$AJ$13,MATCH($C7,Sheet1!$A$3:$A$13,0),MATCH(D$4,Sheet1!$S$2:$AJ$2,0))</f>
        <v>315</v>
      </c>
      <c r="E7">
        <f>INDEX(Sheet1!$S$3:$AJ$13,MATCH($C7,Sheet1!$A$3:$A$13,0),MATCH(E$4,Sheet1!$S$2:$AJ$2,0))</f>
        <v>128</v>
      </c>
      <c r="F7">
        <f>INDEX(Sheet1!$S$3:$AJ$13,MATCH($C7,Sheet1!$A$3:$A$13,0),MATCH(F$4,Sheet1!$S$2:$AJ$2,0))</f>
        <v>38</v>
      </c>
      <c r="G7">
        <f>INDEX(Sheet1!$S$3:$AJ$13,MATCH($C7,Sheet1!$A$3:$A$13,0),MATCH(G$4,Sheet1!$S$2:$AJ$2,0))</f>
        <v>53</v>
      </c>
      <c r="H7">
        <f>INDEX(Sheet1!$S$3:$AJ$13,MATCH($C7,Sheet1!$A$3:$A$13,0),MATCH(H$4,Sheet1!$S$2:$AJ$2,0))</f>
        <v>25</v>
      </c>
      <c r="I7">
        <v>667</v>
      </c>
      <c r="L7" t="s">
        <v>22</v>
      </c>
      <c r="M7">
        <v>123</v>
      </c>
      <c r="N7">
        <v>554</v>
      </c>
      <c r="O7">
        <v>13</v>
      </c>
      <c r="P7">
        <f t="shared" si="0"/>
        <v>690</v>
      </c>
    </row>
    <row r="8" spans="3:16" x14ac:dyDescent="0.35">
      <c r="C8" t="s">
        <v>34</v>
      </c>
      <c r="D8">
        <f>INDEX(Sheet1!$S$3:$AJ$13,MATCH($C8,Sheet1!$A$3:$A$13,0),MATCH(D$4,Sheet1!$S$2:$AJ$2,0))</f>
        <v>211</v>
      </c>
      <c r="E8">
        <f>INDEX(Sheet1!$S$3:$AJ$13,MATCH($C8,Sheet1!$A$3:$A$13,0),MATCH(E$4,Sheet1!$S$2:$AJ$2,0))</f>
        <v>196</v>
      </c>
      <c r="F8">
        <f>INDEX(Sheet1!$S$3:$AJ$13,MATCH($C8,Sheet1!$A$3:$A$13,0),MATCH(F$4,Sheet1!$S$2:$AJ$2,0))</f>
        <v>50</v>
      </c>
      <c r="G8">
        <f>INDEX(Sheet1!$S$3:$AJ$13,MATCH($C8,Sheet1!$A$3:$A$13,0),MATCH(G$4,Sheet1!$S$2:$AJ$2,0))</f>
        <v>41</v>
      </c>
      <c r="H8">
        <f>INDEX(Sheet1!$S$3:$AJ$13,MATCH($C8,Sheet1!$A$3:$A$13,0),MATCH(H$4,Sheet1!$S$2:$AJ$2,0))</f>
        <v>73</v>
      </c>
      <c r="I8">
        <v>787</v>
      </c>
      <c r="L8" t="s">
        <v>23</v>
      </c>
      <c r="M8">
        <v>301</v>
      </c>
      <c r="N8">
        <v>525</v>
      </c>
      <c r="O8">
        <v>9</v>
      </c>
      <c r="P8">
        <f t="shared" si="0"/>
        <v>835</v>
      </c>
    </row>
    <row r="9" spans="3:16" x14ac:dyDescent="0.35">
      <c r="C9" t="s">
        <v>35</v>
      </c>
      <c r="D9">
        <f>INDEX(Sheet1!$S$3:$AJ$13,MATCH($C9,Sheet1!$A$3:$A$13,0),MATCH(D$4,Sheet1!$S$2:$AJ$2,0))</f>
        <v>15</v>
      </c>
      <c r="E9">
        <f>INDEX(Sheet1!$S$3:$AJ$13,MATCH($C9,Sheet1!$A$3:$A$13,0),MATCH(E$4,Sheet1!$S$2:$AJ$2,0))</f>
        <v>78</v>
      </c>
      <c r="F9">
        <f>INDEX(Sheet1!$S$3:$AJ$13,MATCH($C9,Sheet1!$A$3:$A$13,0),MATCH(F$4,Sheet1!$S$2:$AJ$2,0))</f>
        <v>6</v>
      </c>
      <c r="G9">
        <f>INDEX(Sheet1!$S$3:$AJ$13,MATCH($C9,Sheet1!$A$3:$A$13,0),MATCH(G$4,Sheet1!$S$2:$AJ$2,0))</f>
        <v>0</v>
      </c>
      <c r="H9">
        <f>INDEX(Sheet1!$S$3:$AJ$13,MATCH($C9,Sheet1!$A$3:$A$13,0),MATCH(H$4,Sheet1!$S$2:$AJ$2,0))</f>
        <v>3</v>
      </c>
      <c r="I9">
        <v>114</v>
      </c>
      <c r="L9" t="s">
        <v>24</v>
      </c>
      <c r="M9">
        <v>59</v>
      </c>
      <c r="N9">
        <v>55</v>
      </c>
      <c r="O9">
        <v>2</v>
      </c>
      <c r="P9">
        <f t="shared" si="0"/>
        <v>116</v>
      </c>
    </row>
    <row r="10" spans="3:16" x14ac:dyDescent="0.35">
      <c r="C10" t="s">
        <v>36</v>
      </c>
      <c r="D10">
        <f>INDEX(Sheet1!$S$3:$AJ$13,MATCH($C10,Sheet1!$A$3:$A$13,0),MATCH(D$4,Sheet1!$S$2:$AJ$2,0))</f>
        <v>205</v>
      </c>
      <c r="E10">
        <f>INDEX(Sheet1!$S$3:$AJ$13,MATCH($C10,Sheet1!$A$3:$A$13,0),MATCH(E$4,Sheet1!$S$2:$AJ$2,0))</f>
        <v>39</v>
      </c>
      <c r="F10">
        <f>INDEX(Sheet1!$S$3:$AJ$13,MATCH($C10,Sheet1!$A$3:$A$13,0),MATCH(F$4,Sheet1!$S$2:$AJ$2,0))</f>
        <v>85</v>
      </c>
      <c r="G10">
        <f>INDEX(Sheet1!$S$3:$AJ$13,MATCH($C10,Sheet1!$A$3:$A$13,0),MATCH(G$4,Sheet1!$S$2:$AJ$2,0))</f>
        <v>46</v>
      </c>
      <c r="H10">
        <f>INDEX(Sheet1!$S$3:$AJ$13,MATCH($C10,Sheet1!$A$3:$A$13,0),MATCH(H$4,Sheet1!$S$2:$AJ$2,0))</f>
        <v>19</v>
      </c>
      <c r="I10">
        <v>424</v>
      </c>
      <c r="L10" t="s">
        <v>25</v>
      </c>
      <c r="M10">
        <v>147</v>
      </c>
      <c r="N10">
        <v>278</v>
      </c>
      <c r="O10">
        <v>26</v>
      </c>
      <c r="P10">
        <f t="shared" si="0"/>
        <v>451</v>
      </c>
    </row>
    <row r="11" spans="3:16" x14ac:dyDescent="0.35">
      <c r="C11" t="s">
        <v>37</v>
      </c>
      <c r="D11">
        <f>INDEX(Sheet1!$S$3:$AJ$13,MATCH($C11,Sheet1!$A$3:$A$13,0),MATCH(D$4,Sheet1!$S$2:$AJ$2,0))</f>
        <v>94</v>
      </c>
      <c r="E11">
        <f>INDEX(Sheet1!$S$3:$AJ$13,MATCH($C11,Sheet1!$A$3:$A$13,0),MATCH(E$4,Sheet1!$S$2:$AJ$2,0))</f>
        <v>49</v>
      </c>
      <c r="F11">
        <f>INDEX(Sheet1!$S$3:$AJ$13,MATCH($C11,Sheet1!$A$3:$A$13,0),MATCH(F$4,Sheet1!$S$2:$AJ$2,0))</f>
        <v>48</v>
      </c>
      <c r="G11">
        <f>INDEX(Sheet1!$S$3:$AJ$13,MATCH($C11,Sheet1!$A$3:$A$13,0),MATCH(G$4,Sheet1!$S$2:$AJ$2,0))</f>
        <v>104</v>
      </c>
      <c r="H11">
        <f>INDEX(Sheet1!$S$3:$AJ$13,MATCH($C11,Sheet1!$A$3:$A$13,0),MATCH(H$4,Sheet1!$S$2:$AJ$2,0))</f>
        <v>4</v>
      </c>
      <c r="I11">
        <v>327</v>
      </c>
      <c r="L11" t="s">
        <v>26</v>
      </c>
      <c r="M11">
        <v>108</v>
      </c>
      <c r="N11">
        <v>220</v>
      </c>
      <c r="O11">
        <v>14</v>
      </c>
      <c r="P11">
        <f t="shared" si="0"/>
        <v>342</v>
      </c>
    </row>
    <row r="12" spans="3:16" x14ac:dyDescent="0.35">
      <c r="C12" t="s">
        <v>38</v>
      </c>
      <c r="D12">
        <f>INDEX(Sheet1!$S$3:$AJ$13,MATCH($C12,Sheet1!$A$3:$A$13,0),MATCH(D$4,Sheet1!$S$2:$AJ$2,0))</f>
        <v>46</v>
      </c>
      <c r="E12">
        <f>INDEX(Sheet1!$S$3:$AJ$13,MATCH($C12,Sheet1!$A$3:$A$13,0),MATCH(E$4,Sheet1!$S$2:$AJ$2,0))</f>
        <v>71</v>
      </c>
      <c r="F12">
        <f>INDEX(Sheet1!$S$3:$AJ$13,MATCH($C12,Sheet1!$A$3:$A$13,0),MATCH(F$4,Sheet1!$S$2:$AJ$2,0))</f>
        <v>37</v>
      </c>
      <c r="G12">
        <f>INDEX(Sheet1!$S$3:$AJ$13,MATCH($C12,Sheet1!$A$3:$A$13,0),MATCH(G$4,Sheet1!$S$2:$AJ$2,0))</f>
        <v>6</v>
      </c>
      <c r="H12">
        <f>INDEX(Sheet1!$S$3:$AJ$13,MATCH($C12,Sheet1!$A$3:$A$13,0),MATCH(H$4,Sheet1!$S$2:$AJ$2,0))</f>
        <v>4</v>
      </c>
      <c r="I12">
        <v>173</v>
      </c>
      <c r="L12" t="s">
        <v>27</v>
      </c>
      <c r="M12">
        <v>82</v>
      </c>
      <c r="N12">
        <v>92</v>
      </c>
      <c r="O12">
        <v>2</v>
      </c>
      <c r="P12">
        <f t="shared" si="0"/>
        <v>176</v>
      </c>
    </row>
    <row r="13" spans="3:16" x14ac:dyDescent="0.35">
      <c r="C13" t="s">
        <v>39</v>
      </c>
      <c r="D13">
        <f>INDEX(Sheet1!$S$3:$AJ$13,MATCH($C13,Sheet1!$A$3:$A$13,0),MATCH(D$4,Sheet1!$S$2:$AJ$2,0))</f>
        <v>110</v>
      </c>
      <c r="E13">
        <f>INDEX(Sheet1!$S$3:$AJ$13,MATCH($C13,Sheet1!$A$3:$A$13,0),MATCH(E$4,Sheet1!$S$2:$AJ$2,0))</f>
        <v>79</v>
      </c>
      <c r="F13">
        <f>INDEX(Sheet1!$S$3:$AJ$13,MATCH($C13,Sheet1!$A$3:$A$13,0),MATCH(F$4,Sheet1!$S$2:$AJ$2,0))</f>
        <v>16</v>
      </c>
      <c r="G13">
        <f>INDEX(Sheet1!$S$3:$AJ$13,MATCH($C13,Sheet1!$A$3:$A$13,0),MATCH(G$4,Sheet1!$S$2:$AJ$2,0))</f>
        <v>6</v>
      </c>
      <c r="H13">
        <f>INDEX(Sheet1!$S$3:$AJ$13,MATCH($C13,Sheet1!$A$3:$A$13,0),MATCH(H$4,Sheet1!$S$2:$AJ$2,0))</f>
        <v>2</v>
      </c>
      <c r="I13">
        <v>229</v>
      </c>
      <c r="L13" t="s">
        <v>28</v>
      </c>
      <c r="M13">
        <v>98</v>
      </c>
      <c r="N13">
        <v>127</v>
      </c>
      <c r="O13">
        <v>5</v>
      </c>
      <c r="P13">
        <f t="shared" si="0"/>
        <v>230</v>
      </c>
    </row>
    <row r="14" spans="3:16" x14ac:dyDescent="0.35">
      <c r="C14" t="s">
        <v>40</v>
      </c>
      <c r="D14">
        <f>INDEX(Sheet1!$S$3:$AJ$13,MATCH($C14,Sheet1!$A$3:$A$13,0),MATCH(D$4,Sheet1!$S$2:$AJ$2,0))</f>
        <v>29</v>
      </c>
      <c r="E14">
        <f>INDEX(Sheet1!$S$3:$AJ$13,MATCH($C14,Sheet1!$A$3:$A$13,0),MATCH(E$4,Sheet1!$S$2:$AJ$2,0))</f>
        <v>114</v>
      </c>
      <c r="F14">
        <f>INDEX(Sheet1!$S$3:$AJ$13,MATCH($C14,Sheet1!$A$3:$A$13,0),MATCH(F$4,Sheet1!$S$2:$AJ$2,0))</f>
        <v>10</v>
      </c>
      <c r="G14">
        <f>INDEX(Sheet1!$S$3:$AJ$13,MATCH($C14,Sheet1!$A$3:$A$13,0),MATCH(G$4,Sheet1!$S$2:$AJ$2,0))</f>
        <v>14</v>
      </c>
      <c r="H14">
        <f>INDEX(Sheet1!$S$3:$AJ$13,MATCH($C14,Sheet1!$A$3:$A$13,0),MATCH(H$4,Sheet1!$S$2:$AJ$2,0))</f>
        <v>3</v>
      </c>
      <c r="I14">
        <v>237</v>
      </c>
      <c r="L14" t="s">
        <v>29</v>
      </c>
      <c r="M14">
        <v>48</v>
      </c>
      <c r="N14">
        <v>194</v>
      </c>
      <c r="O14">
        <v>2</v>
      </c>
      <c r="P14">
        <f t="shared" si="0"/>
        <v>244</v>
      </c>
    </row>
    <row r="15" spans="3:16" x14ac:dyDescent="0.35">
      <c r="C15" t="s">
        <v>41</v>
      </c>
      <c r="D15">
        <f>INDEX(Sheet1!$S$3:$AJ$13,MATCH($C15,Sheet1!$A$3:$A$13,0),MATCH(D$4,Sheet1!$S$2:$AJ$2,0))</f>
        <v>66</v>
      </c>
      <c r="E15">
        <f>INDEX(Sheet1!$S$3:$AJ$13,MATCH($C15,Sheet1!$A$3:$A$13,0),MATCH(E$4,Sheet1!$S$2:$AJ$2,0))</f>
        <v>73</v>
      </c>
      <c r="F15">
        <f>INDEX(Sheet1!$S$3:$AJ$13,MATCH($C15,Sheet1!$A$3:$A$13,0),MATCH(F$4,Sheet1!$S$2:$AJ$2,0))</f>
        <v>50</v>
      </c>
      <c r="G15">
        <f>INDEX(Sheet1!$S$3:$AJ$13,MATCH($C15,Sheet1!$A$3:$A$13,0),MATCH(G$4,Sheet1!$S$2:$AJ$2,0))</f>
        <v>23</v>
      </c>
      <c r="H15">
        <f>INDEX(Sheet1!$S$3:$AJ$13,MATCH($C15,Sheet1!$A$3:$A$13,0),MATCH(H$4,Sheet1!$S$2:$AJ$2,0))</f>
        <v>34</v>
      </c>
      <c r="I15">
        <v>357</v>
      </c>
      <c r="L15" t="s">
        <v>30</v>
      </c>
      <c r="M15">
        <v>102</v>
      </c>
      <c r="N15">
        <v>259</v>
      </c>
      <c r="O15">
        <v>3</v>
      </c>
      <c r="P15">
        <f t="shared" si="0"/>
        <v>364</v>
      </c>
    </row>
    <row r="19" spans="3:15" x14ac:dyDescent="0.35">
      <c r="D19" t="s">
        <v>7</v>
      </c>
      <c r="E19" t="s">
        <v>4</v>
      </c>
      <c r="F19" t="s">
        <v>11</v>
      </c>
      <c r="G19" t="s">
        <v>3</v>
      </c>
      <c r="H19" t="s">
        <v>13</v>
      </c>
      <c r="M19" t="s">
        <v>43</v>
      </c>
      <c r="N19" t="s">
        <v>44</v>
      </c>
      <c r="O19" t="s">
        <v>45</v>
      </c>
    </row>
    <row r="20" spans="3:15" x14ac:dyDescent="0.35">
      <c r="C20" t="s">
        <v>20</v>
      </c>
      <c r="D20" s="2">
        <f t="shared" ref="D20:H30" si="1">D5/$I5</f>
        <v>0.28085106382978725</v>
      </c>
      <c r="E20" s="2">
        <f t="shared" si="1"/>
        <v>0.39468085106382977</v>
      </c>
      <c r="F20" s="2">
        <f t="shared" si="1"/>
        <v>8.085106382978724E-2</v>
      </c>
      <c r="G20" s="2">
        <f t="shared" si="1"/>
        <v>4.3617021276595745E-2</v>
      </c>
      <c r="H20" s="2">
        <f t="shared" si="1"/>
        <v>4.1489361702127657E-2</v>
      </c>
      <c r="L20" t="s">
        <v>20</v>
      </c>
      <c r="M20" s="2">
        <f t="shared" ref="M20:O30" si="2">M5/$P5</f>
        <v>0.37741607324516785</v>
      </c>
      <c r="N20" s="2">
        <f t="shared" si="2"/>
        <v>0.6032553407934893</v>
      </c>
      <c r="O20" s="2">
        <f t="shared" si="2"/>
        <v>1.9328585961342827E-2</v>
      </c>
    </row>
    <row r="21" spans="3:15" x14ac:dyDescent="0.35">
      <c r="C21" t="s">
        <v>21</v>
      </c>
      <c r="D21" s="2">
        <f t="shared" si="1"/>
        <v>0.2455470737913486</v>
      </c>
      <c r="E21" s="2">
        <f t="shared" si="1"/>
        <v>0.35368956743002544</v>
      </c>
      <c r="F21" s="2">
        <f t="shared" si="1"/>
        <v>9.6692111959287536E-2</v>
      </c>
      <c r="G21" s="2">
        <f t="shared" si="1"/>
        <v>8.3969465648854963E-2</v>
      </c>
      <c r="H21" s="2">
        <f t="shared" si="1"/>
        <v>6.2340966921119595E-2</v>
      </c>
      <c r="L21" t="s">
        <v>21</v>
      </c>
      <c r="M21" s="2">
        <f t="shared" si="2"/>
        <v>0.41140024783147461</v>
      </c>
      <c r="N21" s="2">
        <f t="shared" si="2"/>
        <v>0.57001239157372985</v>
      </c>
      <c r="O21" s="2">
        <f t="shared" si="2"/>
        <v>1.858736059479554E-2</v>
      </c>
    </row>
    <row r="22" spans="3:15" x14ac:dyDescent="0.35">
      <c r="C22" t="s">
        <v>22</v>
      </c>
      <c r="D22" s="2">
        <f t="shared" si="1"/>
        <v>0.47226386806596704</v>
      </c>
      <c r="E22" s="2">
        <f t="shared" si="1"/>
        <v>0.19190404797601199</v>
      </c>
      <c r="F22" s="2">
        <f t="shared" si="1"/>
        <v>5.6971514242878558E-2</v>
      </c>
      <c r="G22" s="2">
        <f t="shared" si="1"/>
        <v>7.9460269865067462E-2</v>
      </c>
      <c r="H22" s="2">
        <f t="shared" si="1"/>
        <v>3.7481259370314844E-2</v>
      </c>
      <c r="L22" t="s">
        <v>22</v>
      </c>
      <c r="M22" s="2">
        <f t="shared" si="2"/>
        <v>0.17826086956521739</v>
      </c>
      <c r="N22" s="2">
        <f t="shared" si="2"/>
        <v>0.80289855072463767</v>
      </c>
      <c r="O22" s="2">
        <f t="shared" si="2"/>
        <v>1.8840579710144929E-2</v>
      </c>
    </row>
    <row r="23" spans="3:15" x14ac:dyDescent="0.35">
      <c r="C23" t="s">
        <v>23</v>
      </c>
      <c r="D23" s="2">
        <f t="shared" si="1"/>
        <v>0.26810673443456162</v>
      </c>
      <c r="E23" s="2">
        <f t="shared" si="1"/>
        <v>0.24904701397712833</v>
      </c>
      <c r="F23" s="2">
        <f t="shared" si="1"/>
        <v>6.353240152477764E-2</v>
      </c>
      <c r="G23" s="2">
        <f t="shared" si="1"/>
        <v>5.2096569250317665E-2</v>
      </c>
      <c r="H23" s="2">
        <f t="shared" si="1"/>
        <v>9.2757306226175354E-2</v>
      </c>
      <c r="L23" t="s">
        <v>23</v>
      </c>
      <c r="M23" s="2">
        <f t="shared" si="2"/>
        <v>0.36047904191616764</v>
      </c>
      <c r="N23" s="2">
        <f t="shared" si="2"/>
        <v>0.62874251497005984</v>
      </c>
      <c r="O23" s="2">
        <f t="shared" si="2"/>
        <v>1.0778443113772455E-2</v>
      </c>
    </row>
    <row r="24" spans="3:15" x14ac:dyDescent="0.35">
      <c r="C24" t="s">
        <v>24</v>
      </c>
      <c r="D24" s="2">
        <f t="shared" si="1"/>
        <v>0.13157894736842105</v>
      </c>
      <c r="E24" s="2">
        <f t="shared" si="1"/>
        <v>0.68421052631578949</v>
      </c>
      <c r="F24" s="2">
        <f t="shared" si="1"/>
        <v>5.2631578947368418E-2</v>
      </c>
      <c r="G24" s="2">
        <f t="shared" si="1"/>
        <v>0</v>
      </c>
      <c r="H24" s="2">
        <f t="shared" si="1"/>
        <v>2.6315789473684209E-2</v>
      </c>
      <c r="L24" t="s">
        <v>24</v>
      </c>
      <c r="M24" s="2">
        <f t="shared" si="2"/>
        <v>0.50862068965517238</v>
      </c>
      <c r="N24" s="2">
        <f t="shared" si="2"/>
        <v>0.47413793103448276</v>
      </c>
      <c r="O24" s="2">
        <f t="shared" si="2"/>
        <v>1.7241379310344827E-2</v>
      </c>
    </row>
    <row r="25" spans="3:15" x14ac:dyDescent="0.35">
      <c r="C25" t="s">
        <v>25</v>
      </c>
      <c r="D25" s="2">
        <f t="shared" si="1"/>
        <v>0.48349056603773582</v>
      </c>
      <c r="E25" s="2">
        <f t="shared" si="1"/>
        <v>9.1981132075471692E-2</v>
      </c>
      <c r="F25" s="2">
        <f t="shared" si="1"/>
        <v>0.20047169811320756</v>
      </c>
      <c r="G25" s="2">
        <f t="shared" si="1"/>
        <v>0.10849056603773585</v>
      </c>
      <c r="H25" s="2">
        <f t="shared" si="1"/>
        <v>4.4811320754716978E-2</v>
      </c>
      <c r="L25" t="s">
        <v>25</v>
      </c>
      <c r="M25" s="2">
        <f t="shared" si="2"/>
        <v>0.32594235033259422</v>
      </c>
      <c r="N25" s="2">
        <f t="shared" si="2"/>
        <v>0.61640798226164084</v>
      </c>
      <c r="O25" s="2">
        <f t="shared" si="2"/>
        <v>5.7649667405764965E-2</v>
      </c>
    </row>
    <row r="26" spans="3:15" x14ac:dyDescent="0.35">
      <c r="C26" t="s">
        <v>26</v>
      </c>
      <c r="D26" s="2">
        <f t="shared" si="1"/>
        <v>0.28746177370030579</v>
      </c>
      <c r="E26" s="2">
        <f t="shared" si="1"/>
        <v>0.14984709480122324</v>
      </c>
      <c r="F26" s="2">
        <f t="shared" si="1"/>
        <v>0.14678899082568808</v>
      </c>
      <c r="G26" s="2">
        <f t="shared" si="1"/>
        <v>0.31804281345565749</v>
      </c>
      <c r="H26" s="2">
        <f t="shared" si="1"/>
        <v>1.2232415902140673E-2</v>
      </c>
      <c r="L26" t="s">
        <v>26</v>
      </c>
      <c r="M26" s="2">
        <f t="shared" si="2"/>
        <v>0.31578947368421051</v>
      </c>
      <c r="N26" s="2">
        <f t="shared" si="2"/>
        <v>0.64327485380116955</v>
      </c>
      <c r="O26" s="2">
        <f t="shared" si="2"/>
        <v>4.0935672514619881E-2</v>
      </c>
    </row>
    <row r="27" spans="3:15" x14ac:dyDescent="0.35">
      <c r="C27" t="s">
        <v>27</v>
      </c>
      <c r="D27" s="2">
        <f t="shared" si="1"/>
        <v>0.26589595375722541</v>
      </c>
      <c r="E27" s="2">
        <f t="shared" si="1"/>
        <v>0.41040462427745666</v>
      </c>
      <c r="F27" s="2">
        <f t="shared" si="1"/>
        <v>0.2138728323699422</v>
      </c>
      <c r="G27" s="2">
        <f t="shared" si="1"/>
        <v>3.4682080924855488E-2</v>
      </c>
      <c r="H27" s="2">
        <f t="shared" si="1"/>
        <v>2.3121387283236993E-2</v>
      </c>
      <c r="L27" t="s">
        <v>27</v>
      </c>
      <c r="M27" s="2">
        <f t="shared" si="2"/>
        <v>0.46590909090909088</v>
      </c>
      <c r="N27" s="2">
        <f t="shared" si="2"/>
        <v>0.52272727272727271</v>
      </c>
      <c r="O27" s="2">
        <f t="shared" si="2"/>
        <v>1.1363636363636364E-2</v>
      </c>
    </row>
    <row r="28" spans="3:15" x14ac:dyDescent="0.35">
      <c r="C28" t="s">
        <v>28</v>
      </c>
      <c r="D28" s="2">
        <f t="shared" si="1"/>
        <v>0.48034934497816595</v>
      </c>
      <c r="E28" s="2">
        <f t="shared" si="1"/>
        <v>0.34497816593886466</v>
      </c>
      <c r="F28" s="2">
        <f t="shared" si="1"/>
        <v>6.9868995633187769E-2</v>
      </c>
      <c r="G28" s="2">
        <f t="shared" si="1"/>
        <v>2.6200873362445413E-2</v>
      </c>
      <c r="H28" s="2">
        <f t="shared" si="1"/>
        <v>8.7336244541484712E-3</v>
      </c>
      <c r="L28" t="s">
        <v>28</v>
      </c>
      <c r="M28" s="2">
        <f t="shared" si="2"/>
        <v>0.42608695652173911</v>
      </c>
      <c r="N28" s="2">
        <f t="shared" si="2"/>
        <v>0.55217391304347829</v>
      </c>
      <c r="O28" s="2">
        <f t="shared" si="2"/>
        <v>2.1739130434782608E-2</v>
      </c>
    </row>
    <row r="29" spans="3:15" x14ac:dyDescent="0.35">
      <c r="C29" t="s">
        <v>29</v>
      </c>
      <c r="D29" s="2">
        <f t="shared" si="1"/>
        <v>0.12236286919831224</v>
      </c>
      <c r="E29" s="2">
        <f t="shared" si="1"/>
        <v>0.48101265822784811</v>
      </c>
      <c r="F29" s="2">
        <f t="shared" si="1"/>
        <v>4.2194092827004218E-2</v>
      </c>
      <c r="G29" s="2">
        <f t="shared" si="1"/>
        <v>5.9071729957805907E-2</v>
      </c>
      <c r="H29" s="2">
        <f t="shared" si="1"/>
        <v>1.2658227848101266E-2</v>
      </c>
      <c r="L29" t="s">
        <v>29</v>
      </c>
      <c r="M29" s="2">
        <f t="shared" si="2"/>
        <v>0.19672131147540983</v>
      </c>
      <c r="N29" s="2">
        <f t="shared" si="2"/>
        <v>0.79508196721311475</v>
      </c>
      <c r="O29" s="2">
        <f t="shared" si="2"/>
        <v>8.1967213114754103E-3</v>
      </c>
    </row>
    <row r="30" spans="3:15" x14ac:dyDescent="0.35">
      <c r="C30" t="s">
        <v>30</v>
      </c>
      <c r="D30" s="2">
        <f t="shared" si="1"/>
        <v>0.18487394957983194</v>
      </c>
      <c r="E30" s="2">
        <f t="shared" si="1"/>
        <v>0.20448179271708683</v>
      </c>
      <c r="F30" s="2">
        <f t="shared" si="1"/>
        <v>0.14005602240896359</v>
      </c>
      <c r="G30" s="2">
        <f t="shared" si="1"/>
        <v>6.4425770308123242E-2</v>
      </c>
      <c r="H30" s="2">
        <f t="shared" si="1"/>
        <v>9.5238095238095233E-2</v>
      </c>
      <c r="L30" t="s">
        <v>30</v>
      </c>
      <c r="M30" s="2">
        <f t="shared" si="2"/>
        <v>0.28021978021978022</v>
      </c>
      <c r="N30" s="2">
        <f t="shared" si="2"/>
        <v>0.71153846153846156</v>
      </c>
      <c r="O30" s="2">
        <f t="shared" si="2"/>
        <v>8.241758241758242E-3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4E10-66AB-4506-83F2-D1F2F2316366}">
  <dimension ref="B4:AE67"/>
  <sheetViews>
    <sheetView tabSelected="1" topLeftCell="I1" workbookViewId="0">
      <selection sqref="A1:AF70"/>
    </sheetView>
  </sheetViews>
  <sheetFormatPr defaultRowHeight="14.5" x14ac:dyDescent="0.35"/>
  <sheetData>
    <row r="4" spans="2:31" x14ac:dyDescent="0.35">
      <c r="B4" t="str" cm="1">
        <f t="array" ref="B4:N51">TRANSPOSE(Sheet1!O21:BJ33)</f>
        <v>belum/tidak bekerja</v>
      </c>
      <c r="C4">
        <v>562</v>
      </c>
      <c r="D4">
        <v>483</v>
      </c>
      <c r="E4">
        <v>332</v>
      </c>
      <c r="F4">
        <v>409</v>
      </c>
      <c r="G4">
        <v>68</v>
      </c>
      <c r="H4">
        <v>193</v>
      </c>
      <c r="I4">
        <v>182</v>
      </c>
      <c r="J4">
        <v>78</v>
      </c>
      <c r="K4">
        <v>86</v>
      </c>
      <c r="L4">
        <v>93</v>
      </c>
      <c r="M4">
        <v>211</v>
      </c>
      <c r="N4">
        <v>2697</v>
      </c>
    </row>
    <row r="5" spans="2:31" x14ac:dyDescent="0.35">
      <c r="B5" t="str">
        <v>koki/barista/bartender</v>
      </c>
      <c r="C5">
        <v>2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</v>
      </c>
      <c r="O5">
        <f t="shared" ref="O5:O51" si="0">RANK(N5,$N$5:$N$51)</f>
        <v>26</v>
      </c>
      <c r="R5" t="str" cm="1">
        <f t="array" ref="R5:AE51">_xlfn._xlws.SORT(B5:O51,12,-1)</f>
        <v>petani/pekebun</v>
      </c>
      <c r="S5">
        <v>266</v>
      </c>
      <c r="T5">
        <v>152</v>
      </c>
      <c r="U5">
        <v>287</v>
      </c>
      <c r="V5">
        <v>273</v>
      </c>
      <c r="W5">
        <v>39</v>
      </c>
      <c r="X5">
        <v>160</v>
      </c>
      <c r="Y5">
        <v>144</v>
      </c>
      <c r="Z5">
        <v>61</v>
      </c>
      <c r="AA5">
        <v>123</v>
      </c>
      <c r="AB5">
        <v>62</v>
      </c>
      <c r="AC5">
        <v>64</v>
      </c>
      <c r="AD5">
        <v>1631</v>
      </c>
      <c r="AE5">
        <v>1</v>
      </c>
    </row>
    <row r="6" spans="2:31" x14ac:dyDescent="0.35">
      <c r="B6" t="str">
        <v>pekerja serabutan</v>
      </c>
      <c r="C6">
        <v>18</v>
      </c>
      <c r="D6">
        <v>34</v>
      </c>
      <c r="E6">
        <v>7</v>
      </c>
      <c r="F6">
        <v>6</v>
      </c>
      <c r="G6">
        <v>4</v>
      </c>
      <c r="H6">
        <v>5</v>
      </c>
      <c r="I6">
        <v>1</v>
      </c>
      <c r="J6">
        <v>1</v>
      </c>
      <c r="K6">
        <v>0</v>
      </c>
      <c r="L6">
        <v>5</v>
      </c>
      <c r="M6">
        <v>10</v>
      </c>
      <c r="N6">
        <v>91</v>
      </c>
      <c r="O6">
        <f t="shared" si="0"/>
        <v>4</v>
      </c>
      <c r="R6" t="str">
        <v>wirausaha</v>
      </c>
      <c r="S6">
        <v>43</v>
      </c>
      <c r="T6">
        <v>16</v>
      </c>
      <c r="U6">
        <v>4</v>
      </c>
      <c r="V6">
        <v>13</v>
      </c>
      <c r="W6">
        <v>4</v>
      </c>
      <c r="X6">
        <v>9</v>
      </c>
      <c r="Y6">
        <v>0</v>
      </c>
      <c r="Z6">
        <v>2</v>
      </c>
      <c r="AA6">
        <v>2</v>
      </c>
      <c r="AB6">
        <v>12</v>
      </c>
      <c r="AC6">
        <v>22</v>
      </c>
      <c r="AD6">
        <v>127</v>
      </c>
      <c r="AE6">
        <v>3</v>
      </c>
    </row>
    <row r="7" spans="2:31" x14ac:dyDescent="0.35">
      <c r="B7" t="str">
        <v>petani/pekebun</v>
      </c>
      <c r="C7">
        <v>266</v>
      </c>
      <c r="D7">
        <v>152</v>
      </c>
      <c r="E7">
        <v>287</v>
      </c>
      <c r="F7">
        <v>273</v>
      </c>
      <c r="G7">
        <v>39</v>
      </c>
      <c r="H7">
        <v>160</v>
      </c>
      <c r="I7">
        <v>144</v>
      </c>
      <c r="J7">
        <v>61</v>
      </c>
      <c r="K7">
        <v>123</v>
      </c>
      <c r="L7">
        <v>62</v>
      </c>
      <c r="M7">
        <v>64</v>
      </c>
      <c r="N7">
        <v>1631</v>
      </c>
      <c r="O7">
        <f t="shared" si="0"/>
        <v>1</v>
      </c>
      <c r="R7" t="str">
        <v>tenaga administrasi (tata usaha)</v>
      </c>
      <c r="S7">
        <v>14</v>
      </c>
      <c r="T7">
        <v>5</v>
      </c>
      <c r="U7">
        <v>5</v>
      </c>
      <c r="V7">
        <v>7</v>
      </c>
      <c r="W7">
        <v>1</v>
      </c>
      <c r="X7">
        <v>1</v>
      </c>
      <c r="Y7">
        <v>1</v>
      </c>
      <c r="Z7">
        <v>0</v>
      </c>
      <c r="AA7">
        <v>1</v>
      </c>
      <c r="AB7">
        <v>0</v>
      </c>
      <c r="AC7">
        <v>21</v>
      </c>
      <c r="AD7">
        <v>56</v>
      </c>
      <c r="AE7">
        <v>7</v>
      </c>
    </row>
    <row r="8" spans="2:31" x14ac:dyDescent="0.35">
      <c r="B8" t="str">
        <v>wirausaha</v>
      </c>
      <c r="C8">
        <v>43</v>
      </c>
      <c r="D8">
        <v>16</v>
      </c>
      <c r="E8">
        <v>4</v>
      </c>
      <c r="F8">
        <v>13</v>
      </c>
      <c r="G8">
        <v>4</v>
      </c>
      <c r="H8">
        <v>9</v>
      </c>
      <c r="I8">
        <v>0</v>
      </c>
      <c r="J8">
        <v>2</v>
      </c>
      <c r="K8">
        <v>2</v>
      </c>
      <c r="L8">
        <v>12</v>
      </c>
      <c r="M8">
        <v>22</v>
      </c>
      <c r="N8">
        <v>127</v>
      </c>
      <c r="O8">
        <f t="shared" si="0"/>
        <v>3</v>
      </c>
      <c r="R8" t="str">
        <v>pekerja serabutan</v>
      </c>
      <c r="S8">
        <v>18</v>
      </c>
      <c r="T8">
        <v>34</v>
      </c>
      <c r="U8">
        <v>7</v>
      </c>
      <c r="V8">
        <v>6</v>
      </c>
      <c r="W8">
        <v>4</v>
      </c>
      <c r="X8">
        <v>5</v>
      </c>
      <c r="Y8">
        <v>1</v>
      </c>
      <c r="Z8">
        <v>1</v>
      </c>
      <c r="AA8">
        <v>0</v>
      </c>
      <c r="AB8">
        <v>5</v>
      </c>
      <c r="AC8">
        <v>10</v>
      </c>
      <c r="AD8">
        <v>91</v>
      </c>
      <c r="AE8">
        <v>4</v>
      </c>
    </row>
    <row r="9" spans="2:31" x14ac:dyDescent="0.35">
      <c r="B9" t="str">
        <v>ustadz/mubaligh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</v>
      </c>
      <c r="O9">
        <f t="shared" si="0"/>
        <v>28</v>
      </c>
      <c r="R9" t="str">
        <v>buruh industri</v>
      </c>
      <c r="S9">
        <v>24</v>
      </c>
      <c r="T9">
        <v>14</v>
      </c>
      <c r="U9">
        <v>10</v>
      </c>
      <c r="V9">
        <v>7</v>
      </c>
      <c r="W9">
        <v>7</v>
      </c>
      <c r="X9">
        <v>5</v>
      </c>
      <c r="Y9">
        <v>1</v>
      </c>
      <c r="Z9">
        <v>1</v>
      </c>
      <c r="AA9">
        <v>1</v>
      </c>
      <c r="AB9">
        <v>0</v>
      </c>
      <c r="AC9">
        <v>10</v>
      </c>
      <c r="AD9">
        <v>80</v>
      </c>
      <c r="AE9">
        <v>5</v>
      </c>
    </row>
    <row r="10" spans="2:31" x14ac:dyDescent="0.35">
      <c r="B10" t="str">
        <v>guru/pendidik</v>
      </c>
      <c r="C10">
        <v>49</v>
      </c>
      <c r="D10">
        <v>28</v>
      </c>
      <c r="E10">
        <v>20</v>
      </c>
      <c r="F10">
        <v>36</v>
      </c>
      <c r="G10">
        <v>5</v>
      </c>
      <c r="H10">
        <v>6</v>
      </c>
      <c r="I10">
        <v>4</v>
      </c>
      <c r="J10">
        <v>4</v>
      </c>
      <c r="K10">
        <v>8</v>
      </c>
      <c r="L10">
        <v>3</v>
      </c>
      <c r="M10">
        <v>8</v>
      </c>
      <c r="N10">
        <v>171</v>
      </c>
      <c r="O10">
        <f t="shared" si="0"/>
        <v>2</v>
      </c>
      <c r="R10" t="str">
        <v>guru/pendidik</v>
      </c>
      <c r="S10">
        <v>49</v>
      </c>
      <c r="T10">
        <v>28</v>
      </c>
      <c r="U10">
        <v>20</v>
      </c>
      <c r="V10">
        <v>36</v>
      </c>
      <c r="W10">
        <v>5</v>
      </c>
      <c r="X10">
        <v>6</v>
      </c>
      <c r="Y10">
        <v>4</v>
      </c>
      <c r="Z10">
        <v>4</v>
      </c>
      <c r="AA10">
        <v>8</v>
      </c>
      <c r="AB10">
        <v>3</v>
      </c>
      <c r="AC10">
        <v>8</v>
      </c>
      <c r="AD10">
        <v>171</v>
      </c>
      <c r="AE10">
        <v>2</v>
      </c>
    </row>
    <row r="11" spans="2:31" x14ac:dyDescent="0.35">
      <c r="B11" t="str">
        <v>polisi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f t="shared" si="0"/>
        <v>46</v>
      </c>
      <c r="R11" t="str">
        <v>driver/pengemudi</v>
      </c>
      <c r="S11">
        <v>10</v>
      </c>
      <c r="T11">
        <v>12</v>
      </c>
      <c r="U11">
        <v>11</v>
      </c>
      <c r="V11">
        <v>4</v>
      </c>
      <c r="W11">
        <v>1</v>
      </c>
      <c r="X11">
        <v>4</v>
      </c>
      <c r="Y11">
        <v>0</v>
      </c>
      <c r="Z11">
        <v>4</v>
      </c>
      <c r="AA11">
        <v>0</v>
      </c>
      <c r="AB11">
        <v>1</v>
      </c>
      <c r="AC11">
        <v>6</v>
      </c>
      <c r="AD11">
        <v>53</v>
      </c>
      <c r="AE11">
        <v>8</v>
      </c>
    </row>
    <row r="12" spans="2:31" x14ac:dyDescent="0.35">
      <c r="B12" t="str">
        <v>buruh industri</v>
      </c>
      <c r="C12">
        <v>24</v>
      </c>
      <c r="D12">
        <v>14</v>
      </c>
      <c r="E12">
        <v>10</v>
      </c>
      <c r="F12">
        <v>7</v>
      </c>
      <c r="G12">
        <v>7</v>
      </c>
      <c r="H12">
        <v>5</v>
      </c>
      <c r="I12">
        <v>1</v>
      </c>
      <c r="J12">
        <v>1</v>
      </c>
      <c r="K12">
        <v>1</v>
      </c>
      <c r="L12">
        <v>0</v>
      </c>
      <c r="M12">
        <v>10</v>
      </c>
      <c r="N12">
        <v>80</v>
      </c>
      <c r="O12">
        <f t="shared" si="0"/>
        <v>5</v>
      </c>
      <c r="R12" t="str">
        <v>buruh tani</v>
      </c>
      <c r="S12">
        <v>4</v>
      </c>
      <c r="T12">
        <v>0</v>
      </c>
      <c r="U12">
        <v>3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>
        <v>6</v>
      </c>
      <c r="AD12">
        <v>15</v>
      </c>
      <c r="AE12">
        <v>20</v>
      </c>
    </row>
    <row r="13" spans="2:31" x14ac:dyDescent="0.35">
      <c r="B13" t="str">
        <v>pekerja/karyawan swasta</v>
      </c>
      <c r="C13">
        <v>20</v>
      </c>
      <c r="D13">
        <v>9</v>
      </c>
      <c r="E13">
        <v>14</v>
      </c>
      <c r="F13">
        <v>12</v>
      </c>
      <c r="G13">
        <v>0</v>
      </c>
      <c r="H13">
        <v>7</v>
      </c>
      <c r="I13">
        <v>2</v>
      </c>
      <c r="J13">
        <v>1</v>
      </c>
      <c r="K13">
        <v>0</v>
      </c>
      <c r="L13">
        <v>3</v>
      </c>
      <c r="M13">
        <v>2</v>
      </c>
      <c r="N13">
        <v>70</v>
      </c>
      <c r="O13">
        <f t="shared" si="0"/>
        <v>6</v>
      </c>
      <c r="R13" t="str">
        <v>bidan</v>
      </c>
      <c r="S13">
        <v>15</v>
      </c>
      <c r="T13">
        <v>10</v>
      </c>
      <c r="U13">
        <v>1</v>
      </c>
      <c r="V13">
        <v>4</v>
      </c>
      <c r="W13">
        <v>1</v>
      </c>
      <c r="X13">
        <v>5</v>
      </c>
      <c r="Y13">
        <v>0</v>
      </c>
      <c r="Z13">
        <v>0</v>
      </c>
      <c r="AA13">
        <v>0</v>
      </c>
      <c r="AB13">
        <v>1</v>
      </c>
      <c r="AC13">
        <v>3</v>
      </c>
      <c r="AD13">
        <v>40</v>
      </c>
      <c r="AE13">
        <v>9</v>
      </c>
    </row>
    <row r="14" spans="2:31" x14ac:dyDescent="0.35">
      <c r="B14" t="str">
        <v>tenaga administrasi (tata usaha)</v>
      </c>
      <c r="C14">
        <v>14</v>
      </c>
      <c r="D14">
        <v>5</v>
      </c>
      <c r="E14">
        <v>5</v>
      </c>
      <c r="F14">
        <v>7</v>
      </c>
      <c r="G14">
        <v>1</v>
      </c>
      <c r="H14">
        <v>1</v>
      </c>
      <c r="I14">
        <v>1</v>
      </c>
      <c r="J14">
        <v>0</v>
      </c>
      <c r="K14">
        <v>1</v>
      </c>
      <c r="L14">
        <v>0</v>
      </c>
      <c r="M14">
        <v>21</v>
      </c>
      <c r="N14">
        <v>56</v>
      </c>
      <c r="O14">
        <f t="shared" si="0"/>
        <v>7</v>
      </c>
      <c r="R14" t="str">
        <v>perawat</v>
      </c>
      <c r="S14">
        <v>6</v>
      </c>
      <c r="T14">
        <v>3</v>
      </c>
      <c r="U14">
        <v>1</v>
      </c>
      <c r="V14">
        <v>2</v>
      </c>
      <c r="W14">
        <v>2</v>
      </c>
      <c r="X14">
        <v>5</v>
      </c>
      <c r="Y14">
        <v>0</v>
      </c>
      <c r="Z14">
        <v>0</v>
      </c>
      <c r="AA14">
        <v>0</v>
      </c>
      <c r="AB14">
        <v>0</v>
      </c>
      <c r="AC14">
        <v>3</v>
      </c>
      <c r="AD14">
        <v>22</v>
      </c>
      <c r="AE14">
        <v>15</v>
      </c>
    </row>
    <row r="15" spans="2:31" x14ac:dyDescent="0.35">
      <c r="B15" t="str">
        <v>montir/mekanik/teknisi</v>
      </c>
      <c r="C15">
        <v>6</v>
      </c>
      <c r="D15">
        <v>3</v>
      </c>
      <c r="E15">
        <v>3</v>
      </c>
      <c r="F15">
        <v>2</v>
      </c>
      <c r="G15">
        <v>2</v>
      </c>
      <c r="H15">
        <v>5</v>
      </c>
      <c r="I15">
        <v>0</v>
      </c>
      <c r="J15">
        <v>1</v>
      </c>
      <c r="K15">
        <v>1</v>
      </c>
      <c r="L15">
        <v>0</v>
      </c>
      <c r="M15">
        <v>2</v>
      </c>
      <c r="N15">
        <v>25</v>
      </c>
      <c r="O15">
        <f t="shared" si="0"/>
        <v>12</v>
      </c>
      <c r="R15" t="str">
        <v>pelayan/penjaga toko</v>
      </c>
      <c r="S15">
        <v>2</v>
      </c>
      <c r="T15">
        <v>0</v>
      </c>
      <c r="U15">
        <v>1</v>
      </c>
      <c r="V15">
        <v>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23</v>
      </c>
    </row>
    <row r="16" spans="2:31" x14ac:dyDescent="0.35">
      <c r="B16" t="str">
        <v>peternak</v>
      </c>
      <c r="C16">
        <v>2</v>
      </c>
      <c r="D16">
        <v>2</v>
      </c>
      <c r="E16">
        <v>1</v>
      </c>
      <c r="F16">
        <v>0</v>
      </c>
      <c r="G16">
        <v>0</v>
      </c>
      <c r="H16">
        <v>1</v>
      </c>
      <c r="I16">
        <v>0</v>
      </c>
      <c r="J16">
        <v>8</v>
      </c>
      <c r="K16">
        <v>1</v>
      </c>
      <c r="L16">
        <v>2</v>
      </c>
      <c r="M16">
        <v>0</v>
      </c>
      <c r="N16">
        <v>17</v>
      </c>
      <c r="O16">
        <f t="shared" si="0"/>
        <v>18</v>
      </c>
      <c r="R16" t="str">
        <v>pekerja/karyawan swasta</v>
      </c>
      <c r="S16">
        <v>20</v>
      </c>
      <c r="T16">
        <v>9</v>
      </c>
      <c r="U16">
        <v>14</v>
      </c>
      <c r="V16">
        <v>12</v>
      </c>
      <c r="W16">
        <v>0</v>
      </c>
      <c r="X16">
        <v>7</v>
      </c>
      <c r="Y16">
        <v>2</v>
      </c>
      <c r="Z16">
        <v>1</v>
      </c>
      <c r="AA16">
        <v>0</v>
      </c>
      <c r="AB16">
        <v>3</v>
      </c>
      <c r="AC16">
        <v>2</v>
      </c>
      <c r="AD16">
        <v>70</v>
      </c>
      <c r="AE16">
        <v>6</v>
      </c>
    </row>
    <row r="17" spans="2:31" x14ac:dyDescent="0.35">
      <c r="B17" t="str">
        <v>driver/pengemudi</v>
      </c>
      <c r="C17">
        <v>10</v>
      </c>
      <c r="D17">
        <v>12</v>
      </c>
      <c r="E17">
        <v>11</v>
      </c>
      <c r="F17">
        <v>4</v>
      </c>
      <c r="G17">
        <v>1</v>
      </c>
      <c r="H17">
        <v>4</v>
      </c>
      <c r="I17">
        <v>0</v>
      </c>
      <c r="J17">
        <v>4</v>
      </c>
      <c r="K17">
        <v>0</v>
      </c>
      <c r="L17">
        <v>1</v>
      </c>
      <c r="M17">
        <v>6</v>
      </c>
      <c r="N17">
        <v>53</v>
      </c>
      <c r="O17">
        <f t="shared" si="0"/>
        <v>8</v>
      </c>
      <c r="R17" t="str">
        <v>montir/mekanik/teknisi</v>
      </c>
      <c r="S17">
        <v>6</v>
      </c>
      <c r="T17">
        <v>3</v>
      </c>
      <c r="U17">
        <v>3</v>
      </c>
      <c r="V17">
        <v>2</v>
      </c>
      <c r="W17">
        <v>2</v>
      </c>
      <c r="X17">
        <v>5</v>
      </c>
      <c r="Y17">
        <v>0</v>
      </c>
      <c r="Z17">
        <v>1</v>
      </c>
      <c r="AA17">
        <v>1</v>
      </c>
      <c r="AB17">
        <v>0</v>
      </c>
      <c r="AC17">
        <v>2</v>
      </c>
      <c r="AD17">
        <v>25</v>
      </c>
      <c r="AE17">
        <v>12</v>
      </c>
    </row>
    <row r="18" spans="2:31" x14ac:dyDescent="0.35">
      <c r="B18" t="str">
        <v>pembantu/asisten rumah tangga</v>
      </c>
      <c r="C18">
        <v>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18</v>
      </c>
      <c r="L18">
        <v>0</v>
      </c>
      <c r="M18">
        <v>2</v>
      </c>
      <c r="N18">
        <v>26</v>
      </c>
      <c r="O18">
        <f t="shared" si="0"/>
        <v>11</v>
      </c>
      <c r="R18" t="str">
        <v>pembantu/asisten rumah tangga</v>
      </c>
      <c r="S18">
        <v>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18</v>
      </c>
      <c r="AB18">
        <v>0</v>
      </c>
      <c r="AC18">
        <v>2</v>
      </c>
      <c r="AD18">
        <v>26</v>
      </c>
      <c r="AE18">
        <v>11</v>
      </c>
    </row>
    <row r="19" spans="2:31" x14ac:dyDescent="0.35">
      <c r="B19" t="str">
        <v>bidan</v>
      </c>
      <c r="C19">
        <v>15</v>
      </c>
      <c r="D19">
        <v>10</v>
      </c>
      <c r="E19">
        <v>1</v>
      </c>
      <c r="F19">
        <v>4</v>
      </c>
      <c r="G19">
        <v>1</v>
      </c>
      <c r="H19">
        <v>5</v>
      </c>
      <c r="I19">
        <v>0</v>
      </c>
      <c r="J19">
        <v>0</v>
      </c>
      <c r="K19">
        <v>0</v>
      </c>
      <c r="L19">
        <v>1</v>
      </c>
      <c r="M19">
        <v>3</v>
      </c>
      <c r="N19">
        <v>40</v>
      </c>
      <c r="O19">
        <f t="shared" si="0"/>
        <v>9</v>
      </c>
      <c r="R19" t="str">
        <v>security/satpam/penjaga keamanan</v>
      </c>
      <c r="S19">
        <v>2</v>
      </c>
      <c r="T19">
        <v>3</v>
      </c>
      <c r="U19">
        <v>2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  <c r="AB19">
        <v>4</v>
      </c>
      <c r="AC19">
        <v>2</v>
      </c>
      <c r="AD19">
        <v>17</v>
      </c>
      <c r="AE19">
        <v>18</v>
      </c>
    </row>
    <row r="20" spans="2:31" x14ac:dyDescent="0.35">
      <c r="B20" t="str">
        <v>pejabat lembaga negara</v>
      </c>
      <c r="C20">
        <v>1</v>
      </c>
      <c r="D20">
        <v>0</v>
      </c>
      <c r="E20">
        <v>1</v>
      </c>
      <c r="F20">
        <v>2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7</v>
      </c>
      <c r="O20">
        <f t="shared" si="0"/>
        <v>24</v>
      </c>
      <c r="R20" t="str">
        <v>buruh bangunan</v>
      </c>
      <c r="S20">
        <v>5</v>
      </c>
      <c r="T20">
        <v>6</v>
      </c>
      <c r="U20">
        <v>9</v>
      </c>
      <c r="V20">
        <v>4</v>
      </c>
      <c r="W20">
        <v>1</v>
      </c>
      <c r="X20">
        <v>0</v>
      </c>
      <c r="Y20">
        <v>0</v>
      </c>
      <c r="Z20">
        <v>1</v>
      </c>
      <c r="AA20">
        <v>0</v>
      </c>
      <c r="AB20">
        <v>1</v>
      </c>
      <c r="AC20">
        <v>2</v>
      </c>
      <c r="AD20">
        <v>29</v>
      </c>
      <c r="AE20">
        <v>10</v>
      </c>
    </row>
    <row r="21" spans="2:31" x14ac:dyDescent="0.35">
      <c r="B21" t="str">
        <v>penjahit/tukang sol</v>
      </c>
      <c r="C21">
        <v>2</v>
      </c>
      <c r="D21">
        <v>2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1</v>
      </c>
      <c r="L21">
        <v>1</v>
      </c>
      <c r="M21">
        <v>1</v>
      </c>
      <c r="N21">
        <v>9</v>
      </c>
      <c r="O21">
        <f t="shared" si="0"/>
        <v>22</v>
      </c>
      <c r="R21" t="str">
        <v>nelayan</v>
      </c>
      <c r="S21">
        <v>0</v>
      </c>
      <c r="T21">
        <v>1</v>
      </c>
      <c r="U21">
        <v>1</v>
      </c>
      <c r="V21">
        <v>19</v>
      </c>
      <c r="W21">
        <v>0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25</v>
      </c>
      <c r="AE21">
        <v>12</v>
      </c>
    </row>
    <row r="22" spans="2:31" x14ac:dyDescent="0.35">
      <c r="B22" t="str">
        <v>seniman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f t="shared" si="0"/>
        <v>39</v>
      </c>
      <c r="R22" t="str">
        <v>dokter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2</v>
      </c>
      <c r="AE22">
        <v>28</v>
      </c>
    </row>
    <row r="23" spans="2:31" x14ac:dyDescent="0.35">
      <c r="B23" t="str">
        <v>pelatih/instruktur/pawang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f t="shared" si="0"/>
        <v>39</v>
      </c>
      <c r="R23" t="str">
        <v>penjahit/tukang sol</v>
      </c>
      <c r="S23">
        <v>2</v>
      </c>
      <c r="T23">
        <v>2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1</v>
      </c>
      <c r="AD23">
        <v>9</v>
      </c>
      <c r="AE23">
        <v>22</v>
      </c>
    </row>
    <row r="24" spans="2:31" x14ac:dyDescent="0.35">
      <c r="B24" t="str">
        <v>perawat</v>
      </c>
      <c r="C24">
        <v>6</v>
      </c>
      <c r="D24">
        <v>3</v>
      </c>
      <c r="E24">
        <v>1</v>
      </c>
      <c r="F24">
        <v>2</v>
      </c>
      <c r="G24">
        <v>2</v>
      </c>
      <c r="H24">
        <v>5</v>
      </c>
      <c r="I24">
        <v>0</v>
      </c>
      <c r="J24">
        <v>0</v>
      </c>
      <c r="K24">
        <v>0</v>
      </c>
      <c r="L24">
        <v>0</v>
      </c>
      <c r="M24">
        <v>3</v>
      </c>
      <c r="N24">
        <v>22</v>
      </c>
      <c r="O24">
        <f t="shared" si="0"/>
        <v>15</v>
      </c>
      <c r="R24" t="str">
        <v>pelaut</v>
      </c>
      <c r="S24">
        <v>4</v>
      </c>
      <c r="T24">
        <v>4</v>
      </c>
      <c r="U24">
        <v>2</v>
      </c>
      <c r="V24">
        <v>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13</v>
      </c>
      <c r="AE24">
        <v>21</v>
      </c>
    </row>
    <row r="25" spans="2:31" x14ac:dyDescent="0.35">
      <c r="B25" t="str">
        <v>pelaut</v>
      </c>
      <c r="C25">
        <v>4</v>
      </c>
      <c r="D25">
        <v>4</v>
      </c>
      <c r="E25">
        <v>2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13</v>
      </c>
      <c r="O25">
        <f t="shared" si="0"/>
        <v>21</v>
      </c>
      <c r="R25" t="str">
        <v>pemuka agama/adat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</v>
      </c>
      <c r="AE25">
        <v>26</v>
      </c>
    </row>
    <row r="26" spans="2:31" x14ac:dyDescent="0.35">
      <c r="B26" t="str">
        <v>pemuka agama/adat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3</v>
      </c>
      <c r="O26">
        <f t="shared" si="0"/>
        <v>26</v>
      </c>
      <c r="R26" t="str">
        <v>operator alat berat</v>
      </c>
      <c r="S26">
        <v>2</v>
      </c>
      <c r="T26">
        <v>1</v>
      </c>
      <c r="U26">
        <v>1</v>
      </c>
      <c r="V26">
        <v>16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1</v>
      </c>
      <c r="AD26">
        <v>23</v>
      </c>
      <c r="AE26">
        <v>14</v>
      </c>
    </row>
    <row r="27" spans="2:31" x14ac:dyDescent="0.35">
      <c r="B27" t="str">
        <v>kontraktor (pemborong)</v>
      </c>
      <c r="C27">
        <v>1</v>
      </c>
      <c r="D27">
        <v>2</v>
      </c>
      <c r="E27">
        <v>14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19</v>
      </c>
      <c r="O27">
        <f t="shared" si="0"/>
        <v>17</v>
      </c>
      <c r="R27" t="str">
        <v>customer service/resepsionis/teller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2</v>
      </c>
      <c r="AE27">
        <v>28</v>
      </c>
    </row>
    <row r="28" spans="2:31" x14ac:dyDescent="0.35">
      <c r="B28" t="str">
        <v>operator alat berat</v>
      </c>
      <c r="C28">
        <v>2</v>
      </c>
      <c r="D28">
        <v>1</v>
      </c>
      <c r="E28">
        <v>1</v>
      </c>
      <c r="F28">
        <v>16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1</v>
      </c>
      <c r="N28">
        <v>23</v>
      </c>
      <c r="O28">
        <f t="shared" si="0"/>
        <v>14</v>
      </c>
      <c r="R28" t="str">
        <v>perangkat desa</v>
      </c>
      <c r="S28">
        <v>0</v>
      </c>
      <c r="T28">
        <v>3</v>
      </c>
      <c r="U28">
        <v>0</v>
      </c>
      <c r="V28">
        <v>6</v>
      </c>
      <c r="W28">
        <v>5</v>
      </c>
      <c r="X28">
        <v>1</v>
      </c>
      <c r="Y28">
        <v>0</v>
      </c>
      <c r="Z28">
        <v>3</v>
      </c>
      <c r="AA28">
        <v>0</v>
      </c>
      <c r="AB28">
        <v>1</v>
      </c>
      <c r="AC28">
        <v>1</v>
      </c>
      <c r="AD28">
        <v>20</v>
      </c>
      <c r="AE28">
        <v>16</v>
      </c>
    </row>
    <row r="29" spans="2:31" x14ac:dyDescent="0.35">
      <c r="B29" t="str">
        <v>security/satpam/penjaga keamanan</v>
      </c>
      <c r="C29">
        <v>2</v>
      </c>
      <c r="D29">
        <v>3</v>
      </c>
      <c r="E29">
        <v>2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4</v>
      </c>
      <c r="M29">
        <v>2</v>
      </c>
      <c r="N29">
        <v>17</v>
      </c>
      <c r="O29">
        <f t="shared" si="0"/>
        <v>18</v>
      </c>
      <c r="R29" t="str">
        <v>mandor/pengawas/supervisor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2</v>
      </c>
      <c r="AE29">
        <v>28</v>
      </c>
    </row>
    <row r="30" spans="2:31" x14ac:dyDescent="0.35">
      <c r="B30" t="str">
        <v>arsitek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</v>
      </c>
      <c r="O30">
        <f t="shared" si="0"/>
        <v>28</v>
      </c>
      <c r="R30" t="str">
        <v>koki/barista/bartender</v>
      </c>
      <c r="S30">
        <v>2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</v>
      </c>
      <c r="AE30">
        <v>26</v>
      </c>
    </row>
    <row r="31" spans="2:31" x14ac:dyDescent="0.35">
      <c r="B31" t="str">
        <v>sekretaris</v>
      </c>
      <c r="C31">
        <v>2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5</v>
      </c>
      <c r="O31">
        <f t="shared" si="0"/>
        <v>25</v>
      </c>
      <c r="R31" t="str">
        <v>ustadz/mubaligh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</v>
      </c>
      <c r="AE31">
        <v>28</v>
      </c>
    </row>
    <row r="32" spans="2:31" x14ac:dyDescent="0.35">
      <c r="B32" t="str">
        <v>buruh bangunan</v>
      </c>
      <c r="C32">
        <v>5</v>
      </c>
      <c r="D32">
        <v>6</v>
      </c>
      <c r="E32">
        <v>9</v>
      </c>
      <c r="F32">
        <v>4</v>
      </c>
      <c r="G32">
        <v>1</v>
      </c>
      <c r="H32">
        <v>0</v>
      </c>
      <c r="I32">
        <v>0</v>
      </c>
      <c r="J32">
        <v>1</v>
      </c>
      <c r="K32">
        <v>0</v>
      </c>
      <c r="L32">
        <v>1</v>
      </c>
      <c r="M32">
        <v>2</v>
      </c>
      <c r="N32">
        <v>29</v>
      </c>
      <c r="O32">
        <f t="shared" si="0"/>
        <v>10</v>
      </c>
      <c r="R32" t="str">
        <v>polisi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46</v>
      </c>
    </row>
    <row r="33" spans="2:31" x14ac:dyDescent="0.35">
      <c r="B33" t="str">
        <v>tni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f t="shared" si="0"/>
        <v>46</v>
      </c>
      <c r="R33" t="str">
        <v>peternak</v>
      </c>
      <c r="S33">
        <v>2</v>
      </c>
      <c r="T33">
        <v>2</v>
      </c>
      <c r="U33">
        <v>1</v>
      </c>
      <c r="V33">
        <v>0</v>
      </c>
      <c r="W33">
        <v>0</v>
      </c>
      <c r="X33">
        <v>1</v>
      </c>
      <c r="Y33">
        <v>0</v>
      </c>
      <c r="Z33">
        <v>8</v>
      </c>
      <c r="AA33">
        <v>1</v>
      </c>
      <c r="AB33">
        <v>2</v>
      </c>
      <c r="AC33">
        <v>0</v>
      </c>
      <c r="AD33">
        <v>17</v>
      </c>
      <c r="AE33">
        <v>18</v>
      </c>
    </row>
    <row r="34" spans="2:31" x14ac:dyDescent="0.35">
      <c r="B34" t="str">
        <v>buruh tani</v>
      </c>
      <c r="C34">
        <v>4</v>
      </c>
      <c r="D34">
        <v>0</v>
      </c>
      <c r="E34">
        <v>3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6</v>
      </c>
      <c r="N34">
        <v>15</v>
      </c>
      <c r="O34">
        <f t="shared" si="0"/>
        <v>20</v>
      </c>
      <c r="R34" t="str">
        <v>pejabat lembaga negara</v>
      </c>
      <c r="S34">
        <v>1</v>
      </c>
      <c r="T34">
        <v>0</v>
      </c>
      <c r="U34">
        <v>1</v>
      </c>
      <c r="V34">
        <v>2</v>
      </c>
      <c r="W34">
        <v>1</v>
      </c>
      <c r="X34">
        <v>0</v>
      </c>
      <c r="Y34">
        <v>1</v>
      </c>
      <c r="Z34">
        <v>0</v>
      </c>
      <c r="AA34">
        <v>1</v>
      </c>
      <c r="AB34">
        <v>0</v>
      </c>
      <c r="AC34">
        <v>0</v>
      </c>
      <c r="AD34">
        <v>7</v>
      </c>
      <c r="AE34">
        <v>24</v>
      </c>
    </row>
    <row r="35" spans="2:31" x14ac:dyDescent="0.35">
      <c r="B35" t="str">
        <v>debt collector/penagih hutang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f t="shared" si="0"/>
        <v>39</v>
      </c>
      <c r="R35" t="str">
        <v>seniman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39</v>
      </c>
    </row>
    <row r="36" spans="2:31" x14ac:dyDescent="0.35">
      <c r="B36" t="str">
        <v>pelayan/penjaga toko</v>
      </c>
      <c r="C36">
        <v>2</v>
      </c>
      <c r="D36">
        <v>0</v>
      </c>
      <c r="E36">
        <v>1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</v>
      </c>
      <c r="N36">
        <v>8</v>
      </c>
      <c r="O36">
        <f t="shared" si="0"/>
        <v>23</v>
      </c>
      <c r="R36" t="str">
        <v>pelatih/instruktur/pawang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39</v>
      </c>
    </row>
    <row r="37" spans="2:31" x14ac:dyDescent="0.35">
      <c r="B37" t="str">
        <v>customer service/resepsionis/teller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2</v>
      </c>
      <c r="O37">
        <f t="shared" si="0"/>
        <v>28</v>
      </c>
      <c r="R37" t="str">
        <v>kontraktor (pemborong)</v>
      </c>
      <c r="S37">
        <v>1</v>
      </c>
      <c r="T37">
        <v>2</v>
      </c>
      <c r="U37">
        <v>14</v>
      </c>
      <c r="V37">
        <v>0</v>
      </c>
      <c r="W37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19</v>
      </c>
      <c r="AE37">
        <v>17</v>
      </c>
    </row>
    <row r="38" spans="2:31" x14ac:dyDescent="0.35">
      <c r="B38" t="str">
        <v>dosen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f t="shared" si="0"/>
        <v>28</v>
      </c>
      <c r="R38" t="str">
        <v>arsitek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</v>
      </c>
      <c r="AE38">
        <v>28</v>
      </c>
    </row>
    <row r="39" spans="2:31" x14ac:dyDescent="0.35">
      <c r="B39" t="str">
        <v>pegawai lembaga negara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  <c r="O39">
        <f t="shared" si="0"/>
        <v>28</v>
      </c>
      <c r="R39" t="str">
        <v>sekretaris</v>
      </c>
      <c r="S39">
        <v>2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5</v>
      </c>
      <c r="AE39">
        <v>25</v>
      </c>
    </row>
    <row r="40" spans="2:31" x14ac:dyDescent="0.35">
      <c r="B40" t="str">
        <v>perangkat desa</v>
      </c>
      <c r="C40">
        <v>0</v>
      </c>
      <c r="D40">
        <v>3</v>
      </c>
      <c r="E40">
        <v>0</v>
      </c>
      <c r="F40">
        <v>6</v>
      </c>
      <c r="G40">
        <v>5</v>
      </c>
      <c r="H40">
        <v>1</v>
      </c>
      <c r="I40">
        <v>0</v>
      </c>
      <c r="J40">
        <v>3</v>
      </c>
      <c r="K40">
        <v>0</v>
      </c>
      <c r="L40">
        <v>1</v>
      </c>
      <c r="M40">
        <v>1</v>
      </c>
      <c r="N40">
        <v>20</v>
      </c>
      <c r="O40">
        <f t="shared" si="0"/>
        <v>16</v>
      </c>
      <c r="R40" t="str">
        <v>tni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46</v>
      </c>
    </row>
    <row r="41" spans="2:31" x14ac:dyDescent="0.35">
      <c r="B41" t="str">
        <v>penata rias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f t="shared" si="0"/>
        <v>39</v>
      </c>
      <c r="R41" t="str">
        <v>debt collector/penagih hutang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39</v>
      </c>
    </row>
    <row r="42" spans="2:31" x14ac:dyDescent="0.35">
      <c r="B42" t="str">
        <v>nelayan</v>
      </c>
      <c r="C42">
        <v>0</v>
      </c>
      <c r="D42">
        <v>1</v>
      </c>
      <c r="E42">
        <v>1</v>
      </c>
      <c r="F42">
        <v>19</v>
      </c>
      <c r="G42">
        <v>0</v>
      </c>
      <c r="H42">
        <v>1</v>
      </c>
      <c r="I42">
        <v>0</v>
      </c>
      <c r="J42">
        <v>0</v>
      </c>
      <c r="K42">
        <v>0</v>
      </c>
      <c r="L42">
        <v>1</v>
      </c>
      <c r="M42">
        <v>2</v>
      </c>
      <c r="N42">
        <v>25</v>
      </c>
      <c r="O42">
        <f t="shared" si="0"/>
        <v>12</v>
      </c>
      <c r="R42" t="str">
        <v>dosen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</v>
      </c>
      <c r="AE42">
        <v>28</v>
      </c>
    </row>
    <row r="43" spans="2:31" x14ac:dyDescent="0.35">
      <c r="B43" t="str">
        <v>mandor/pengawas/supervisor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2</v>
      </c>
      <c r="O43">
        <f t="shared" si="0"/>
        <v>28</v>
      </c>
      <c r="R43" t="str">
        <v>pegawai lembaga negara</v>
      </c>
      <c r="S43">
        <v>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28</v>
      </c>
    </row>
    <row r="44" spans="2:31" x14ac:dyDescent="0.35">
      <c r="B44" t="str">
        <v>public relation/marketing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f t="shared" si="0"/>
        <v>39</v>
      </c>
      <c r="R44" t="str">
        <v>penata rias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39</v>
      </c>
    </row>
    <row r="45" spans="2:31" x14ac:dyDescent="0.35">
      <c r="B45" t="str">
        <v>kasir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2</v>
      </c>
      <c r="O45">
        <f t="shared" si="0"/>
        <v>28</v>
      </c>
      <c r="R45" t="str">
        <v>public relation/marketing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39</v>
      </c>
    </row>
    <row r="46" spans="2:31" x14ac:dyDescent="0.35">
      <c r="B46" t="str">
        <v>peneliti</v>
      </c>
      <c r="C46">
        <v>0</v>
      </c>
      <c r="D46">
        <v>0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f t="shared" si="0"/>
        <v>28</v>
      </c>
      <c r="R46" t="str">
        <v>kasir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2</v>
      </c>
      <c r="AE46">
        <v>28</v>
      </c>
    </row>
    <row r="47" spans="2:31" x14ac:dyDescent="0.35">
      <c r="B47" t="str">
        <v>pengrajin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f t="shared" si="0"/>
        <v>39</v>
      </c>
      <c r="R47" t="str">
        <v>peneliti</v>
      </c>
      <c r="S47">
        <v>0</v>
      </c>
      <c r="T47">
        <v>0</v>
      </c>
      <c r="U47">
        <v>0</v>
      </c>
      <c r="V47">
        <v>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28</v>
      </c>
    </row>
    <row r="48" spans="2:31" x14ac:dyDescent="0.35">
      <c r="B48" t="str">
        <v>petambak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2</v>
      </c>
      <c r="O48">
        <f t="shared" si="0"/>
        <v>28</v>
      </c>
      <c r="R48" t="str">
        <v>pengrajin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39</v>
      </c>
    </row>
    <row r="49" spans="2:31" x14ac:dyDescent="0.35">
      <c r="B49" t="str">
        <v>pramugara/pramugari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f t="shared" si="0"/>
        <v>39</v>
      </c>
      <c r="R49" t="str">
        <v>petambak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  <c r="AD49">
        <v>2</v>
      </c>
      <c r="AE49">
        <v>28</v>
      </c>
    </row>
    <row r="50" spans="2:31" x14ac:dyDescent="0.35">
      <c r="B50" t="str">
        <v>kurir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2</v>
      </c>
      <c r="O50">
        <f t="shared" si="0"/>
        <v>28</v>
      </c>
      <c r="R50" t="str">
        <v>pramugara/pramugari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39</v>
      </c>
    </row>
    <row r="51" spans="2:31" x14ac:dyDescent="0.35">
      <c r="B51" t="str">
        <v>dokter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2</v>
      </c>
      <c r="O51">
        <f t="shared" si="0"/>
        <v>28</v>
      </c>
      <c r="R51" t="str">
        <v>kurir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0</v>
      </c>
      <c r="AD51">
        <v>2</v>
      </c>
      <c r="AE51">
        <v>28</v>
      </c>
    </row>
    <row r="57" spans="2:31" x14ac:dyDescent="0.35">
      <c r="I57" t="s">
        <v>20</v>
      </c>
      <c r="J57" t="s">
        <v>131</v>
      </c>
    </row>
    <row r="58" spans="2:31" x14ac:dyDescent="0.35">
      <c r="I58" t="s">
        <v>21</v>
      </c>
      <c r="J58" t="s">
        <v>132</v>
      </c>
    </row>
    <row r="59" spans="2:31" x14ac:dyDescent="0.35">
      <c r="I59" t="s">
        <v>22</v>
      </c>
      <c r="J59" t="s">
        <v>133</v>
      </c>
    </row>
    <row r="60" spans="2:31" x14ac:dyDescent="0.35">
      <c r="I60" t="s">
        <v>23</v>
      </c>
      <c r="J60" t="s">
        <v>134</v>
      </c>
    </row>
    <row r="61" spans="2:31" x14ac:dyDescent="0.35">
      <c r="I61" t="s">
        <v>24</v>
      </c>
      <c r="J61" t="s">
        <v>135</v>
      </c>
    </row>
    <row r="62" spans="2:31" x14ac:dyDescent="0.35">
      <c r="I62" t="s">
        <v>25</v>
      </c>
      <c r="J62" t="s">
        <v>136</v>
      </c>
    </row>
    <row r="63" spans="2:31" x14ac:dyDescent="0.35">
      <c r="I63" t="s">
        <v>26</v>
      </c>
      <c r="J63" t="s">
        <v>137</v>
      </c>
    </row>
    <row r="64" spans="2:31" x14ac:dyDescent="0.35">
      <c r="I64" t="s">
        <v>27</v>
      </c>
      <c r="J64" t="s">
        <v>138</v>
      </c>
    </row>
    <row r="65" spans="9:10" x14ac:dyDescent="0.35">
      <c r="I65" t="s">
        <v>28</v>
      </c>
      <c r="J65" t="s">
        <v>139</v>
      </c>
    </row>
    <row r="66" spans="9:10" x14ac:dyDescent="0.35">
      <c r="I66" t="s">
        <v>29</v>
      </c>
      <c r="J66" t="s">
        <v>140</v>
      </c>
    </row>
    <row r="67" spans="9:10" x14ac:dyDescent="0.35">
      <c r="I67" t="s">
        <v>30</v>
      </c>
      <c r="J6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pendidikan</vt:lpstr>
      <vt:lpstr>ppwp dan top 5 parpol</vt:lpstr>
      <vt:lpstr>pekerjaan dominan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Sayyid Al Bahr Maulana</dc:creator>
  <cp:lastModifiedBy>Abdullah Alhayad</cp:lastModifiedBy>
  <dcterms:created xsi:type="dcterms:W3CDTF">2026-05-04T21:35:47Z</dcterms:created>
  <dcterms:modified xsi:type="dcterms:W3CDTF">2026-05-09T14:23:48Z</dcterms:modified>
</cp:coreProperties>
</file>